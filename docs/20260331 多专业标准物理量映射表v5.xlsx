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it\Personal\chatCFD\"/>
    </mc:Choice>
  </mc:AlternateContent>
  <xr:revisionPtr revIDLastSave="0" documentId="8_{65CA21D6-1DD9-44AB-B1D0-85ED5E59BA6A}" xr6:coauthVersionLast="47" xr6:coauthVersionMax="47" xr10:uidLastSave="{00000000-0000-0000-0000-000000000000}"/>
  <bookViews>
    <workbookView xWindow="-110" yWindow="-110" windowWidth="38620" windowHeight="21100" firstSheet="4" activeTab="14" xr2:uid="{00000000-000D-0000-FFFF-FFFF00000000}"/>
  </bookViews>
  <sheets>
    <sheet name="0_设计说明" sheetId="1" r:id="rId1"/>
    <sheet name="1_标准物理量" sheetId="2" r:id="rId2"/>
    <sheet name="2_求解器识别规则" sheetId="3" r:id="rId3"/>
    <sheet name="3_OpenFOAM_不可压" sheetId="4" r:id="rId4"/>
    <sheet name="4_OpenFOAM_可压" sheetId="5" r:id="rId5"/>
    <sheet name="5_Fluent" sheetId="6" r:id="rId6"/>
    <sheet name="6_CFX" sheetId="7" r:id="rId7"/>
    <sheet name="7_CGNS" sheetId="8" r:id="rId8"/>
    <sheet name="8_Tecplot_PLT_SZPLT" sheetId="9" r:id="rId9"/>
    <sheet name="9_StarCCM" sheetId="10" r:id="rId10"/>
    <sheet name="10_Abaqus" sheetId="11" r:id="rId11"/>
    <sheet name="11_CFDpp" sheetId="12" r:id="rId12"/>
    <sheet name="12_LS_DYNA" sheetId="13" r:id="rId13"/>
    <sheet name="14_值域范围判断规则" sheetId="14" r:id="rId14"/>
    <sheet name="13_同名异义高风险汇总" sheetId="15" r:id="rId1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" i="2" l="1"/>
  <c r="E5" i="2"/>
</calcChain>
</file>

<file path=xl/sharedStrings.xml><?xml version="1.0" encoding="utf-8"?>
<sst xmlns="http://schemas.openxmlformats.org/spreadsheetml/2006/main" count="2484" uniqueCount="743">
  <si>
    <t>变量映射表  ·  设计说明</t>
  </si>
  <si>
    <t>核心问题</t>
  </si>
  <si>
    <t>解析层输出原始变量名（求解器起的），分析算法层需要标准物理量名，两者对不上。
变量映射表是两层之间的翻译字典，是整个系统能正确运行的关键中间件。</t>
  </si>
  <si>
    <t>分组原则</t>
  </si>
  <si>
    <t>以「求解器类型」为单位分组，不做平铺大表。
原因：同一变量名在不同求解器里可能是不同物理量。
例："p" 在 OpenFOAM 不可压缩流里是运动压力（p/ρ，m²/s²），在 Fluent 里是真实静压（Pa）。
这一差异会导致工程量计算出现量级错误，必须以求解器分组才能正确区分。</t>
  </si>
  <si>
    <t>求解器识别方式</t>
  </si>
  <si>
    <t>解析层自动识别，不需要用户指定。识别优先级：
① 文件头特征（魔数/目录结构）→ 直接确定
② 变量名模式匹配 → 推断（CGNS 等通用格式）
③ 以上均无法确定 → 弹出询问用户，选择结果保存复用</t>
  </si>
  <si>
    <t>三道匹配机制</t>
  </si>
  <si>
    <t>① 内置规则（HIGH）：主流求解器预先写好，直接命中
② LLM 推断（LOW）：未命中时根据变量名语义推断，标注「推断，请确认」
③ 用户确认：LLM 也不确定时弹出询问，用户确认后写入 user_mappings/ 复用</t>
  </si>
  <si>
    <t>存储形式</t>
  </si>
  <si>
    <t>JSON 文件（持久化，source of truth）
Python dict（运行时，启动时 load，O(1) 查询）
Excel 表（编辑视图，双向同步脚本维护一致性）</t>
  </si>
  <si>
    <t>置信度说明</t>
  </si>
  <si>
    <t>HIGH  （绿）：有官方文档明确定义，可直接使用
MEDIUM（黄）：通用惯例，绝大多数情况成立，建议确认
LOW   （橙）：推断，需用户确认后使用
注意  （红）：同名不同义的高风险变量，必须结合求解器类型判断</t>
  </si>
  <si>
    <t>量纲换算字段</t>
  </si>
  <si>
    <t>部分变量需要量纲换算才能用于分析算法。
例：OpenFOAM 不可压的 p（m²/s²）需乘以密度 ρ 才是真实压力（Pa）。
换算规则在 conversion 字段中显性标注，算法层读取后自动处理。</t>
  </si>
  <si>
    <t>CGNS 特殊说明</t>
  </si>
  <si>
    <t>CGNS 是通用格式，OpenFOAM/Fluent/CFX 均可导出。
格式识别到 CGNS 后，还需检查内部变量名风格推断来源求解器。
CGNS 有 SIDS 标准命名规范，但不强制执行。
遵循 SIDS 规范的变量（如 CoordinateX/Density）置信度为 HIGH；
非规范命名需结合变量值域范围二次判断，置信度为 LOW。</t>
  </si>
  <si>
    <t>标准物理量  ·  physical_name 合法取值与定义  ·  按学科分组</t>
  </si>
  <si>
    <t>physical_name</t>
  </si>
  <si>
    <t>中文名</t>
  </si>
  <si>
    <t>SI单位</t>
  </si>
  <si>
    <t>向量/标量</t>
  </si>
  <si>
    <t>说明与常见坑</t>
  </si>
  <si>
    <t>▌ 流体力学</t>
  </si>
  <si>
    <t>pressure</t>
  </si>
  <si>
    <t>静压（真实）</t>
  </si>
  <si>
    <t>Pa</t>
  </si>
  <si>
    <t>scalar</t>
  </si>
  <si>
    <t>真实静压。Fluent/CFX/OpenFOAM可压均输出此量。</t>
  </si>
  <si>
    <t>pressure_kinematic</t>
  </si>
  <si>
    <t>运动压力</t>
  </si>
  <si>
    <t>m²/s²</t>
  </si>
  <si>
    <t>pressure_total</t>
  </si>
  <si>
    <t>总压</t>
  </si>
  <si>
    <t>pressure_coefficient</t>
  </si>
  <si>
    <t>压力系数 Cp</t>
  </si>
  <si>
    <t>-</t>
  </si>
  <si>
    <t>pressure_dynamic</t>
  </si>
  <si>
    <t>动压</t>
  </si>
  <si>
    <t>velocity_x</t>
  </si>
  <si>
    <t>x方向速度</t>
  </si>
  <si>
    <t>m/s</t>
  </si>
  <si>
    <t>笛卡尔坐标 x 分量。</t>
  </si>
  <si>
    <t>velocity_y</t>
  </si>
  <si>
    <t>y方向速度</t>
  </si>
  <si>
    <t>velocity_z</t>
  </si>
  <si>
    <t>z方向速度</t>
  </si>
  <si>
    <t>velocity_magnitude</t>
  </si>
  <si>
    <t>速度幅值</t>
  </si>
  <si>
    <t>mach_number</t>
  </si>
  <si>
    <t>马赫数</t>
  </si>
  <si>
    <t>density</t>
  </si>
  <si>
    <t>密度</t>
  </si>
  <si>
    <t>kg/m³</t>
  </si>
  <si>
    <t>海平面空气约1.225 kg/m³。</t>
  </si>
  <si>
    <t>▌ 热力学</t>
  </si>
  <si>
    <t>temperature</t>
  </si>
  <si>
    <t>静温</t>
  </si>
  <si>
    <t>K</t>
  </si>
  <si>
    <t>单位为开尔文。海平面约288K，注意与摄氏度区分。</t>
  </si>
  <si>
    <t>total_energy</t>
  </si>
  <si>
    <t>总能量</t>
  </si>
  <si>
    <t>J/kg</t>
  </si>
  <si>
    <t>internal_energy</t>
  </si>
  <si>
    <t>内能</t>
  </si>
  <si>
    <t>heat_flux</t>
  </si>
  <si>
    <t>热流密度</t>
  </si>
  <si>
    <t>W/m²</t>
  </si>
  <si>
    <t>vector</t>
  </si>
  <si>
    <t>热量传递速率，向量场。</t>
  </si>
  <si>
    <t>heat_flux_magnitude</t>
  </si>
  <si>
    <t>热流密度幅值</t>
  </si>
  <si>
    <t>热流密度向量的幅值。</t>
  </si>
  <si>
    <t>▌ 湍流模型</t>
  </si>
  <si>
    <t>tke</t>
  </si>
  <si>
    <t>湍动能 k</t>
  </si>
  <si>
    <t>k-ε 和 k-ω 模型均有，恒为正值。</t>
  </si>
  <si>
    <t>tdr</t>
  </si>
  <si>
    <t>湍动能耗散率 ε</t>
  </si>
  <si>
    <t>m²/s³</t>
  </si>
  <si>
    <t>k-ε 模型专用。近壁面处极高，恒为正值。</t>
  </si>
  <si>
    <t>sdr</t>
  </si>
  <si>
    <t>比耗散率 ω</t>
  </si>
  <si>
    <t>1/s</t>
  </si>
  <si>
    <t>k-ω 模型专用，近壁面处极高（可达10⁶），注意与 ε 区分。</t>
  </si>
  <si>
    <t>nut</t>
  </si>
  <si>
    <t>运动湍流粘性 νt</t>
  </si>
  <si>
    <t>m²/s</t>
  </si>
  <si>
    <t>空气约1.5×10⁻⁵ m²/s，湍流粘性比通常1~1000。</t>
  </si>
  <si>
    <t>turbulence_intensity</t>
  </si>
  <si>
    <t>湍流强度</t>
  </si>
  <si>
    <t>▌ 流体壁面量</t>
  </si>
  <si>
    <t>wall_shear_stress</t>
  </si>
  <si>
    <t>壁面剪切力</t>
  </si>
  <si>
    <t>scalar/vector</t>
  </si>
  <si>
    <t>向量或幅值，取决于上下文，恒为正（幅值）。</t>
  </si>
  <si>
    <t>y_plus</t>
  </si>
  <si>
    <t>y+</t>
  </si>
  <si>
    <t>无量纲壁面距离。低雷诺数模型要求y+&lt;1，壁函数法30~300。</t>
  </si>
  <si>
    <t>skin_friction_coeff</t>
  </si>
  <si>
    <t>摩擦系数 Cf</t>
  </si>
  <si>
    <t>▌ 流场特征</t>
  </si>
  <si>
    <t>vorticity_x</t>
  </si>
  <si>
    <t>x涡量</t>
  </si>
  <si>
    <t>ωx = ∂w/∂y - ∂v/∂z</t>
  </si>
  <si>
    <t>vorticity_y</t>
  </si>
  <si>
    <t>y涡量</t>
  </si>
  <si>
    <t>vorticity_z</t>
  </si>
  <si>
    <t>z涡量</t>
  </si>
  <si>
    <t>vorticity_magnitude</t>
  </si>
  <si>
    <t>涡量幅值</t>
  </si>
  <si>
    <t>q_criterion</t>
  </si>
  <si>
    <t>Q准则</t>
  </si>
  <si>
    <t>1/s²</t>
  </si>
  <si>
    <t>Q = 0.5(|Ω|²-|S|²)，Q&gt;0区域为涡结构。可正可负。</t>
  </si>
  <si>
    <t>▌ 结构力学·位移与运动</t>
  </si>
  <si>
    <t>displacement_x</t>
  </si>
  <si>
    <t>x方向位移</t>
  </si>
  <si>
    <t>m</t>
  </si>
  <si>
    <t>节点位移 x 分量。Abaqus: U1，LS-DYNA: X_DISPLACEMENT。</t>
  </si>
  <si>
    <t>displacement_y</t>
  </si>
  <si>
    <t>y方向位移</t>
  </si>
  <si>
    <t>displacement_z</t>
  </si>
  <si>
    <t>z方向位移</t>
  </si>
  <si>
    <t>displacement_magnitude</t>
  </si>
  <si>
    <t>位移幅值</t>
  </si>
  <si>
    <t>rotation_x</t>
  </si>
  <si>
    <t>绕x轴转角</t>
  </si>
  <si>
    <t>rad</t>
  </si>
  <si>
    <t>壳/梁单元的旋转自由度。Abaqus: UR1。</t>
  </si>
  <si>
    <t>rotation_y</t>
  </si>
  <si>
    <t>绕y轴转角</t>
  </si>
  <si>
    <t>rotation_z</t>
  </si>
  <si>
    <t>绕z轴转角</t>
  </si>
  <si>
    <t>velocity_structural_x</t>
  </si>
  <si>
    <t>结构节点速度x</t>
  </si>
  <si>
    <t>【重要区分】结构动力学节点速度，与CFD流速物理含义完全不同，不可混用。Abaqus: V1，LS-DYNA: X_VELOCITY。</t>
  </si>
  <si>
    <t>velocity_structural_y</t>
  </si>
  <si>
    <t>结构节点速度y</t>
  </si>
  <si>
    <t>同上。</t>
  </si>
  <si>
    <t>velocity_structural_z</t>
  </si>
  <si>
    <t>结构节点速度z</t>
  </si>
  <si>
    <t>acceleration_x</t>
  </si>
  <si>
    <t>节点加速度x</t>
  </si>
  <si>
    <t>m/s²</t>
  </si>
  <si>
    <t>Abaqus: A1，LS-DYNA: X_ACCELERATION。</t>
  </si>
  <si>
    <t>acceleration_y</t>
  </si>
  <si>
    <t>节点加速度y</t>
  </si>
  <si>
    <t>acceleration_z</t>
  </si>
  <si>
    <t>节点加速度z</t>
  </si>
  <si>
    <t>▌ 结构力学·应力</t>
  </si>
  <si>
    <t>stress_xx</t>
  </si>
  <si>
    <t>x方向正应力</t>
  </si>
  <si>
    <t>Cauchy应力张量分量。Abaqus: S11，LS-DYNA: STRESS_XX。</t>
  </si>
  <si>
    <t>stress_yy</t>
  </si>
  <si>
    <t>y方向正应力</t>
  </si>
  <si>
    <t>stress_zz</t>
  </si>
  <si>
    <t>z方向正应力</t>
  </si>
  <si>
    <t>stress_xy</t>
  </si>
  <si>
    <t>xy剪切应力</t>
  </si>
  <si>
    <t>stress_yz</t>
  </si>
  <si>
    <t>yz剪切应力</t>
  </si>
  <si>
    <t>stress_zx</t>
  </si>
  <si>
    <t>zx剪切应力</t>
  </si>
  <si>
    <t>von_mises_stress</t>
  </si>
  <si>
    <t>Von Mises等效应力</t>
  </si>
  <si>
    <t>强度评估最常用标量指标，恒为正值。Abaqus: MISES，LS-DYNA: EFF_STRESS。</t>
  </si>
  <si>
    <t>tresca_stress</t>
  </si>
  <si>
    <t>Tresca等效应力</t>
  </si>
  <si>
    <t>hydrostatic_pressure</t>
  </si>
  <si>
    <t>静水压力</t>
  </si>
  <si>
    <t>stress_tensor</t>
  </si>
  <si>
    <t>应力张量</t>
  </si>
  <si>
    <t>tensor(6)</t>
  </si>
  <si>
    <t>6分量完整张量：S11/S22/S33/S12/S13/S23。</t>
  </si>
  <si>
    <t>▌ 结构力学·应变</t>
  </si>
  <si>
    <t>strain_xx</t>
  </si>
  <si>
    <t>x方向正应变</t>
  </si>
  <si>
    <t>工程应变，无量纲。Abaqus: E11，LS-DYNA: STRAIN_XX。</t>
  </si>
  <si>
    <t>strain_yy</t>
  </si>
  <si>
    <t>y方向正应变</t>
  </si>
  <si>
    <t>strain_zz</t>
  </si>
  <si>
    <t>z方向正应变</t>
  </si>
  <si>
    <t>strain_xy</t>
  </si>
  <si>
    <t>xy剪切应变</t>
  </si>
  <si>
    <t>strain_tensor</t>
  </si>
  <si>
    <t>应变张量</t>
  </si>
  <si>
    <t>6分量完整张量。</t>
  </si>
  <si>
    <t>elastic_strain_tensor</t>
  </si>
  <si>
    <t>弹性应变张量</t>
  </si>
  <si>
    <t>Abaqus: EE。</t>
  </si>
  <si>
    <t>plastic_strain_tensor</t>
  </si>
  <si>
    <t>塑性应变张量</t>
  </si>
  <si>
    <t>Abaqus: PE。</t>
  </si>
  <si>
    <t>equivalent_plastic_strain</t>
  </si>
  <si>
    <t>等效塑性应变</t>
  </si>
  <si>
    <t>恒为正值，失效判断关键指标。Abaqus: PEEQ，LS-DYNA: EFF_PSTRAIN。</t>
  </si>
  <si>
    <t>logarithmic_strain</t>
  </si>
  <si>
    <t>对数应变</t>
  </si>
  <si>
    <t>大变形分析专用。Abaqus: LE。</t>
  </si>
  <si>
    <t>▌ 结构力学·接触</t>
  </si>
  <si>
    <t>contact_pressure</t>
  </si>
  <si>
    <t>接触压力</t>
  </si>
  <si>
    <t>接触界面法向压力，恒为正值（压）。Abaqus: CPRESS，LS-DYNA: CONTACT_PRESSURE。</t>
  </si>
  <si>
    <t>contact_shear</t>
  </si>
  <si>
    <t>接触剪切力</t>
  </si>
  <si>
    <t>接触界面切向力。Abaqus: CSHEAR。</t>
  </si>
  <si>
    <t>contact_opening</t>
  </si>
  <si>
    <t>接触间隙</t>
  </si>
  <si>
    <t>接触面间隙距离。Abaqus: COPEN。</t>
  </si>
  <si>
    <t>contact_force</t>
  </si>
  <si>
    <t>接触力</t>
  </si>
  <si>
    <t>N</t>
  </si>
  <si>
    <t>LS-DYNA: CONTACT_FORCE。</t>
  </si>
  <si>
    <t>▌ 结构力学·能量与失效</t>
  </si>
  <si>
    <t>internal_energy_structural</t>
  </si>
  <si>
    <t>结构内能</t>
  </si>
  <si>
    <t>J</t>
  </si>
  <si>
    <t>单元内能。【区分】与热力学内能(internal_energy, J/kg)量纲不同。LS-DYNA: INT_ENERGY。</t>
  </si>
  <si>
    <t>kinetic_energy</t>
  </si>
  <si>
    <t>动能</t>
  </si>
  <si>
    <t>单元动能。LS-DYNA: KIN_ENERGY。</t>
  </si>
  <si>
    <t>elastic_strain_energy</t>
  </si>
  <si>
    <t>弹性应变能密度</t>
  </si>
  <si>
    <t>J/m³</t>
  </si>
  <si>
    <t>Abaqus: ELSE。</t>
  </si>
  <si>
    <t>plastic_dissipation</t>
  </si>
  <si>
    <t>塑性耗散能量密度</t>
  </si>
  <si>
    <t>Abaqus: PENER。</t>
  </si>
  <si>
    <t>hourglass_energy</t>
  </si>
  <si>
    <t>沙漏能</t>
  </si>
  <si>
    <t>数值稳定性指标，应远小于内能（&lt;5%为合格）。LS-DYNA: HOURGLASS_ENERGY。</t>
  </si>
  <si>
    <t>failure_flag</t>
  </si>
  <si>
    <t>单元失效标志</t>
  </si>
  <si>
    <t>0=未失效，1=已删除。LS-DYNA: FAILURE。</t>
  </si>
  <si>
    <t>shell_thickness</t>
  </si>
  <si>
    <t>壳单元厚度</t>
  </si>
  <si>
    <t>成形分析监测减薄率的关键量。LS-DYNA: THICKNESS。</t>
  </si>
  <si>
    <t>natural_frequency</t>
  </si>
  <si>
    <t>固有频率</t>
  </si>
  <si>
    <t>Hz</t>
  </si>
  <si>
    <t>频率提取分析输出。Abaqus: FREQ。</t>
  </si>
  <si>
    <t>▌ 热分析</t>
  </si>
  <si>
    <t>temperature_nodal</t>
  </si>
  <si>
    <t>节点温度</t>
  </si>
  <si>
    <t>K或°C</t>
  </si>
  <si>
    <t>热分析专用节点温度，需确认单位设置（K或°C）。Abaqus: NT/NT11，LS-DYNA: TEMPERATURE。与流体静温(temperature)定义相同，但来源不同。</t>
  </si>
  <si>
    <t>▌ 数值诊断</t>
  </si>
  <si>
    <t>residual</t>
  </si>
  <si>
    <t>残差</t>
  </si>
  <si>
    <t>来自求解器日志文件，非流场变量，以变量名后缀区分如 residual_p。</t>
  </si>
  <si>
    <t>求解器自动识别规则  ·  解析层第零步</t>
  </si>
  <si>
    <t>求解器</t>
  </si>
  <si>
    <t>格式识别特征</t>
  </si>
  <si>
    <t>置信度</t>
  </si>
  <si>
    <t>备注</t>
  </si>
  <si>
    <t>OpenFOAM</t>
  </si>
  <si>
    <t>目录结构：存在 constant/ system/ 0/ 三个子目录；constant/polyMesh/ 存在</t>
  </si>
  <si>
    <t>HIGH</t>
  </si>
  <si>
    <t>版本无关，结构特征稳定</t>
  </si>
  <si>
    <t>Fluent</t>
  </si>
  <si>
    <t>文件头魔数：cas 文件首行包含 (0 "FLUENT"；dat 文件对应 cas 文件</t>
  </si>
  <si>
    <t>Fluent 6.x 以上均适用</t>
  </si>
  <si>
    <t>CFX</t>
  </si>
  <si>
    <t>.res 文件头包含 CPCFD 标识字节；.def 文件同目录</t>
  </si>
  <si>
    <t>Star-CCM+</t>
  </si>
  <si>
    <t>.sim 为 HDF5 格式，根节点含 STAR-CCM+ 标签</t>
  </si>
  <si>
    <t>CGNS</t>
  </si>
  <si>
    <t>HDF5 格式，根节点含 CGNSBase_t 类型节点</t>
  </si>
  <si>
    <t>格式确定，但求解器来源需进一步推断，见下表</t>
  </si>
  <si>
    <t>Tecplot PLT</t>
  </si>
  <si>
    <t>二进制魔数：前4字节为 0x23 0x21 0x4C 0x50（"#!LP"）</t>
  </si>
  <si>
    <t>Tecplot SZPLT</t>
  </si>
  <si>
    <t>SZL 格式，文件头含 SZPLT 标识</t>
  </si>
  <si>
    <t>EnSight</t>
  </si>
  <si>
    <t>.case 文本文件 + .geo / .*** 数据文件组合</t>
  </si>
  <si>
    <t>CGNS 格式：求解器来源推断规则（格式通用，来源不同）</t>
  </si>
  <si>
    <t>CGNS 来源求解器</t>
  </si>
  <si>
    <t>内部特征</t>
  </si>
  <si>
    <t>OpenFOAM → CGNS</t>
  </si>
  <si>
    <t>变量名风格：CoordinateX/Y/Z + Velocity/Pressure，无 Momentum 写法</t>
  </si>
  <si>
    <t>MEDIUM</t>
  </si>
  <si>
    <t>foamToCGNS 默认命名规范</t>
  </si>
  <si>
    <t>Fluent → CGNS</t>
  </si>
  <si>
    <t>变量名含 x-velocity / pressure / turb-kinetic-energy 等连字符风格</t>
  </si>
  <si>
    <t>Fluent CGNS 导出保留原始变量名</t>
  </si>
  <si>
    <t>CFX → CGNS</t>
  </si>
  <si>
    <t>变量名含空格：Velocity u / Pressure / TurbulenceKE</t>
  </si>
  <si>
    <t>CFX 风格特征明显</t>
  </si>
  <si>
    <t>国内求解器 → CGNS</t>
  </si>
  <si>
    <t>变量名含拼音/中文缩写/非 SIDS 命名，如 CoefPressure / rho_u</t>
  </si>
  <si>
    <t>LOW</t>
  </si>
  <si>
    <t>需 LLM 推断或问用户</t>
  </si>
  <si>
    <t>遵循 SIDS 规范</t>
  </si>
  <si>
    <t>CoordinateX/Y/Z、Density、MomentumX/Y/Z、EnergyStagnationDensity</t>
  </si>
  <si>
    <t>SIDS 规范变量名，格式无关可直接映射</t>
  </si>
  <si>
    <t>OpenFOAM · 不可压缩流</t>
  </si>
  <si>
    <t>适用：simpleFoam / pisoFoam / pimpleFoam / interFoam  |  核心坑：p 是运动压力（m²/s²），不是 Pa</t>
  </si>
  <si>
    <t>raw_name</t>
  </si>
  <si>
    <t>类型</t>
  </si>
  <si>
    <t>向量分量</t>
  </si>
  <si>
    <t>量纲换算</t>
  </si>
  <si>
    <t>同名异义风险</t>
  </si>
  <si>
    <t>notes</t>
  </si>
  <si>
    <t>p</t>
  </si>
  <si>
    <t>×ρ(kg/m³)→Pa</t>
  </si>
  <si>
    <t>高</t>
  </si>
  <si>
    <t>【最常见坑】运动压力 m²/s²，绝非 Pa。直接当静压用会差约1000倍。必须乘以参考密度换算。</t>
  </si>
  <si>
    <t>U</t>
  </si>
  <si>
    <t>velocity_x/y/z</t>
  </si>
  <si>
    <t>xyz</t>
  </si>
  <si>
    <t>低</t>
  </si>
  <si>
    <t>三分量向量。U[0]=Ux, U[1]=Uy, U[2]=Uz。</t>
  </si>
  <si>
    <t>k</t>
  </si>
  <si>
    <t>湍动能，m²/s²。k-ε 和 k-ω 模型均有此变量。</t>
  </si>
  <si>
    <t>omega</t>
  </si>
  <si>
    <t>比耗散率 ω，1/s。k-ω 模型专用，注意与 ε 区分。</t>
  </si>
  <si>
    <t>epsilon</t>
  </si>
  <si>
    <t>湍动能耗散率 ε，m²/s³。k-ε 模型专用。</t>
  </si>
  <si>
    <t>运动湍流粘性 νt，m²/s。</t>
  </si>
  <si>
    <t>nuTilda</t>
  </si>
  <si>
    <t>Spalart-Allmaras 模型修正粘性变量，量纲同 nut。</t>
  </si>
  <si>
    <t>p_rgh</t>
  </si>
  <si>
    <t>×ρ→Pa</t>
  </si>
  <si>
    <t>中</t>
  </si>
  <si>
    <t>去除静水压的修正压力，浮力流用。p_rgh ≠ p，不可混用。</t>
  </si>
  <si>
    <t>T</t>
  </si>
  <si>
    <t>温度 K，buoyantFoam 等热流求解器才有此字段。</t>
  </si>
  <si>
    <t>rho</t>
  </si>
  <si>
    <t>纯不可压流理论上无此字段；若出现需确认是否为多相流或热流。</t>
  </si>
  <si>
    <t>wallShearStress</t>
  </si>
  <si>
    <t>由 wallShearStress 函数对象输出，非求解变量。</t>
  </si>
  <si>
    <t>yPlus</t>
  </si>
  <si>
    <t>由 yPlus 函数对象输出。</t>
  </si>
  <si>
    <t>Cp</t>
  </si>
  <si>
    <t>由 pressureCoefficient 函数对象输出，需确认参考量设置。</t>
  </si>
  <si>
    <t>vorticity</t>
  </si>
  <si>
    <t>vorticity_x/y/z</t>
  </si>
  <si>
    <t>由 vorticity 函数对象输出。</t>
  </si>
  <si>
    <t>Q</t>
  </si>
  <si>
    <t>由 Q 函数对象输出。</t>
  </si>
  <si>
    <t>phi</t>
  </si>
  <si>
    <t>界面通量（flux），单位 m³/s，不用于后处理计算。</t>
  </si>
  <si>
    <t>OpenFOAM · 可压缩流</t>
  </si>
  <si>
    <t>适用：rhoCentralFoam / rhoSimpleFoam / sonicFoam  |  核心坑：p 含义与不可压完全不同，求解器类型必须区分</t>
  </si>
  <si>
    <t>【同名异义】可压流的 p 是真实静压 Pa，与不可压的 p（运动压力 m²/s²）含义完全不同！求解器类型判断是关键。</t>
  </si>
  <si>
    <t>同不可压。</t>
  </si>
  <si>
    <t>静温 K。</t>
  </si>
  <si>
    <t>密度 kg/m³，可压流标准变量。</t>
  </si>
  <si>
    <t>e</t>
  </si>
  <si>
    <t>内能 J/kg，rhoCentralFoam 等使用。</t>
  </si>
  <si>
    <t>Ek</t>
  </si>
  <si>
    <t>总能量，部分求解器输出。</t>
  </si>
  <si>
    <t>mut</t>
  </si>
  <si>
    <t>÷ρ→m²/s</t>
  </si>
  <si>
    <t>动力湍流粘性 μt（Pa·s），换算为运动粘性需除以密度。与不可压的 nut（m²/s）量纲不同。</t>
  </si>
  <si>
    <t>alphat</t>
  </si>
  <si>
    <t>湍流热扩散率，不直接对应流场物理量，一般不用于后处理。</t>
  </si>
  <si>
    <t>Ma</t>
  </si>
  <si>
    <t>部分求解器后处理输出，也可由 p/T/U 计算得到。</t>
  </si>
  <si>
    <t>ANSYS Fluent</t>
  </si>
  <si>
    <t>文件格式：.cas + .dat（或 .cas.h5 + .dat.h5）  |  核心坑：默认输出表压，积分力系数前必须确认操作压力设置</t>
  </si>
  <si>
    <t>+101325→绝对压</t>
  </si>
  <si>
    <t>默认输出表压（相对于操作压力）。若操作压力设为0则为绝对压。积分力系数时必须确认！</t>
  </si>
  <si>
    <t>x-velocity</t>
  </si>
  <si>
    <t>y-velocity</t>
  </si>
  <si>
    <t>z-velocity</t>
  </si>
  <si>
    <t>velocity-magnitude</t>
  </si>
  <si>
    <t>total-pressure</t>
  </si>
  <si>
    <t>mach-number</t>
  </si>
  <si>
    <t>pressure-coefficient</t>
  </si>
  <si>
    <t>需在 Fluent 中正确设置参考值（参考压力/速度/面积）才有意义。</t>
  </si>
  <si>
    <t>turb-kinetic-energy</t>
  </si>
  <si>
    <t>turb-diss-rate</t>
  </si>
  <si>
    <t>ε，k-ε 模型。</t>
  </si>
  <si>
    <t>specific-diss-rate</t>
  </si>
  <si>
    <t>ω，k-ω 模型。</t>
  </si>
  <si>
    <t>turb-viscosity</t>
  </si>
  <si>
    <t>动力湍流粘性 μt（Pa·s），换算运动粘性需除以密度。</t>
  </si>
  <si>
    <t>wall-shear-stress</t>
  </si>
  <si>
    <t>壁面剪切应力幅值。</t>
  </si>
  <si>
    <t>y-plus</t>
  </si>
  <si>
    <t>skin-friction-coeff</t>
  </si>
  <si>
    <t>vorticity-mag</t>
  </si>
  <si>
    <t>q-criterion</t>
  </si>
  <si>
    <t>需在 Fluent 中显式开启输出。</t>
  </si>
  <si>
    <t>ANSYS CFX</t>
  </si>
  <si>
    <t>文件格式：.res  |  变量名含空格，需特别处理  |  默认输出绝对压（与 Fluent 的表压默认值不同）</t>
  </si>
  <si>
    <t>Pressure</t>
  </si>
  <si>
    <t>静压 Pa，CFX 默认输出绝对压（与 Fluent 默认表压不同）。</t>
  </si>
  <si>
    <t>Total Pressure</t>
  </si>
  <si>
    <t>Velocity u</t>
  </si>
  <si>
    <t>CFX 变量名含空格，解析时注意字符串处理。</t>
  </si>
  <si>
    <t>Velocity v</t>
  </si>
  <si>
    <t>Velocity w</t>
  </si>
  <si>
    <t>Velocity</t>
  </si>
  <si>
    <t>幅值版本。</t>
  </si>
  <si>
    <t>Temperature</t>
  </si>
  <si>
    <t>Density</t>
  </si>
  <si>
    <t>Mach Number</t>
  </si>
  <si>
    <t>TurbulenceKE</t>
  </si>
  <si>
    <t>TurbulenceEDR</t>
  </si>
  <si>
    <t>耗散率 ε。</t>
  </si>
  <si>
    <t>TurbulenceSDR</t>
  </si>
  <si>
    <t>比耗散率 ω。</t>
  </si>
  <si>
    <t>Eddy Viscosity</t>
  </si>
  <si>
    <t>动力涡粘性 μt，换算同 Fluent。</t>
  </si>
  <si>
    <t>Wall Shear</t>
  </si>
  <si>
    <t>Yplus</t>
  </si>
  <si>
    <t>Pressure Coefficient</t>
  </si>
  <si>
    <t>Vorticity</t>
  </si>
  <si>
    <t>CGNS 通用格式</t>
  </si>
  <si>
    <t>SIDS 规范命名→HIGH置信度直接映射；非规范命名→LOW置信度需结合来源求解器和值域范围判断</t>
  </si>
  <si>
    <t>CGNS SIDS 标准命名，真实静压 Pa。</t>
  </si>
  <si>
    <t>PressureStagnation</t>
  </si>
  <si>
    <t>SIDS 标准命名。</t>
  </si>
  <si>
    <t>PressureCoefficient</t>
  </si>
  <si>
    <t>VelocityX</t>
  </si>
  <si>
    <t>VelocityY</t>
  </si>
  <si>
    <t>VelocityZ</t>
  </si>
  <si>
    <t>VelocityMagnitude</t>
  </si>
  <si>
    <t>Mach</t>
  </si>
  <si>
    <t>MomentumX</t>
  </si>
  <si>
    <t>÷ρ→m/s</t>
  </si>
  <si>
    <t>SIDS 动量密度（ρu），需除以密度才是速度。</t>
  </si>
  <si>
    <t>MomentumY</t>
  </si>
  <si>
    <t>MomentumZ</t>
  </si>
  <si>
    <t>TurbulentKineticEnergy</t>
  </si>
  <si>
    <t>TurbulentDissipation</t>
  </si>
  <si>
    <t>SkinFrictionX</t>
  </si>
  <si>
    <t>VorticityX</t>
  </si>
  <si>
    <t>VorticityMagnitude</t>
  </si>
  <si>
    <t>需确认</t>
  </si>
  <si>
    <t>非 SIDS 命名。可能是真实静压，也可能是运动压力（OpenFOAM 导出时）。必须结合来源求解器判断。</t>
  </si>
  <si>
    <t>q</t>
  </si>
  <si>
    <t>非 SIDS 命名。部分工具用此名输出运动压力，需结合值域范围判断。</t>
  </si>
  <si>
    <t>CoefPressure</t>
  </si>
  <si>
    <t>非 SIDS 命名，国内部分求解器（如 NSAFOAM）的习惯写法。</t>
  </si>
  <si>
    <t>rho_u</t>
  </si>
  <si>
    <t>非 SIDS 命名。rho_u 通常是动量密度，需除以密度。</t>
  </si>
  <si>
    <t>Tecplot PLT / SZPLT  ·  合并版</t>
  </si>
  <si>
    <t>格式说明：PLT（二进制）与 SZPLT（新一代）变量命名规则完全相同，均由写入方自由决定，无统一规范。两者合并维护。</t>
  </si>
  <si>
    <t>置信度前提：PLT 所有置信度均建立在「无法从格式本身验证来源求解器」的假设下。同级别 HIGH 的可靠性低于 CGNS SIDS / Fluent / CFX 条目（后者有标准文档背书）。来源求解器已知时，参考对应求解器 Sheet 的映射规则，置信度可相应提升。</t>
  </si>
  <si>
    <t>来源求解器</t>
  </si>
  <si>
    <t>任意</t>
  </si>
  <si>
    <t>Cp 含义极少歧义，几乎所有写入方均用此表示压力系数。</t>
  </si>
  <si>
    <t>Cf</t>
  </si>
  <si>
    <t>yplus</t>
  </si>
  <si>
    <t>Mach 含义明确。</t>
  </si>
  <si>
    <t>Fluent → PLT</t>
  </si>
  <si>
    <t>+操作压→绝对压</t>
  </si>
  <si>
    <t>Fluent 导出 PLT 保留原始变量名，来源明确则置信度 HIGH。</t>
  </si>
  <si>
    <t>CFX → PLT</t>
  </si>
  <si>
    <t>CFX 风格，绝对静压 Pa。</t>
  </si>
  <si>
    <t>OpenFOAM → PLT</t>
  </si>
  <si>
    <t>OpenFOAM foamToTecplot360 导出。【坑】运动压力，需乘密度换算。</t>
  </si>
  <si>
    <t>Fluent 导出保留连字符命名。</t>
  </si>
  <si>
    <t>CFX 含空格命名风格。</t>
  </si>
  <si>
    <t>OpenFOAM 导出时 U 可能是向量场或幅值，需确认。</t>
  </si>
  <si>
    <t>Fluent 命名风格。</t>
  </si>
  <si>
    <t>CFX 命名风格。</t>
  </si>
  <si>
    <t>来源未知</t>
  </si>
  <si>
    <t>【高风险】来源未知时，p 可能是真实静压（Pa）或运动压力（m²/s²）。参考「14_值域范围判断规则」Sheet 用 min/max 辅助判断。</t>
  </si>
  <si>
    <t>P</t>
  </si>
  <si>
    <t>同上，大写版本。</t>
  </si>
  <si>
    <t>u</t>
  </si>
  <si>
    <t>小写 u/v/w 是速度分量最常见命名。</t>
  </si>
  <si>
    <t>v</t>
  </si>
  <si>
    <t>w</t>
  </si>
  <si>
    <t>Q 也可能表示流量或热量，参考值域范围判断。</t>
  </si>
  <si>
    <t>x</t>
  </si>
  <si>
    <t>velocity_x 或 坐标</t>
  </si>
  <si>
    <t>【极高风险】x/y/z 在 PLT 中可能是坐标轴（单位 m，量级 0.01~10）也可能是速度分量（m/s，量级 0~500）。必须用值域范围区分。</t>
  </si>
  <si>
    <t>y</t>
  </si>
  <si>
    <t>velocity_y 或 坐标</t>
  </si>
  <si>
    <t>z</t>
  </si>
  <si>
    <t>velocity_z 或 坐标</t>
  </si>
  <si>
    <t>Simcenter Star-CCM+</t>
  </si>
  <si>
    <t>文件格式：.sim（HDF5）  |  变量名含空格，向量分量用 [i]/[j]/[k]  |  默认绝对压，注意与 Fluent 表压的区别</t>
  </si>
  <si>
    <t>静压 Pa，绝对压。Star-CCM+ 默认绝对压（与 Fluent 默认表压不同）。</t>
  </si>
  <si>
    <t>需确认参考值设置是否正确。</t>
  </si>
  <si>
    <t>Dynamic Pressure</t>
  </si>
  <si>
    <t>Velocity[i]</t>
  </si>
  <si>
    <t>Star-CCM+ 向量分量写法：[i]/[j]/[k] 对应 x/y/z。</t>
  </si>
  <si>
    <t>Velocity[j]</t>
  </si>
  <si>
    <t>Velocity[k]</t>
  </si>
  <si>
    <t>Velocity Magnitude</t>
  </si>
  <si>
    <t>Turbulent Kinetic Energy</t>
  </si>
  <si>
    <t>Turbulent Dissipation Rate</t>
  </si>
  <si>
    <t>Specific Dissipation Rate</t>
  </si>
  <si>
    <t>Turbulent Viscosity</t>
  </si>
  <si>
    <t>动力湍流粘性 μt（Pa·s），换算运动粘性需除密度。</t>
  </si>
  <si>
    <t>Wall Shear Stress</t>
  </si>
  <si>
    <t>Y+</t>
  </si>
  <si>
    <t>Skin Friction Coefficient</t>
  </si>
  <si>
    <t>Vorticity Magnitude</t>
  </si>
  <si>
    <t>Q Criterion</t>
  </si>
  <si>
    <t>Relative Velocity Magnitude</t>
  </si>
  <si>
    <t>旋转机械场景，相对参考系速度幅值，与绝对速度含义不同。</t>
  </si>
  <si>
    <t>Absolute Pressure</t>
  </si>
  <si>
    <t>显式标注绝对压，与 Pressure 字段含义相同。</t>
  </si>
  <si>
    <t>Gauge Pressure</t>
  </si>
  <si>
    <t>+p_ref→绝对压</t>
  </si>
  <si>
    <t>表压，需加参考压力（通常 101325 Pa）换算为绝对压。</t>
  </si>
  <si>
    <t>Abaqus（结构 / 热 / 多物理场）</t>
  </si>
  <si>
    <t>文件格式：.odb / .fil / .dat  |  以结构力学为主，变量体系与 CFD 完全不同  |  注意：U=位移，V=结构速度，与 CFD 的 U/V 速度变量含义相反</t>
  </si>
  <si>
    <t>displacement</t>
  </si>
  <si>
    <t>节点位移向量，U[0/1/2] 分别对应 x/y/z 方向位移，单位 m。注意：与 CFD 的速度 U 完全不同，务必先确认文件来源是 Abaqus。</t>
  </si>
  <si>
    <t>U1</t>
  </si>
  <si>
    <t>x 方向位移分量，m。</t>
  </si>
  <si>
    <t>U2</t>
  </si>
  <si>
    <t>U3</t>
  </si>
  <si>
    <t>UR1</t>
  </si>
  <si>
    <t>绕 x 轴转角，rad。壳/梁单元有此自由度。</t>
  </si>
  <si>
    <t>UR2</t>
  </si>
  <si>
    <t>UR3</t>
  </si>
  <si>
    <t>V</t>
  </si>
  <si>
    <t>velocity_structural</t>
  </si>
  <si>
    <t>【重要区分】结构动力学中的节点速度（m/s），与 CFD 流速变量同名但完全不同。必须确认文件来自 Abaqus 才能用此映射。</t>
  </si>
  <si>
    <t>V1</t>
  </si>
  <si>
    <t>A</t>
  </si>
  <si>
    <t>acceleration</t>
  </si>
  <si>
    <t>节点加速度，m/s²。</t>
  </si>
  <si>
    <t>S</t>
  </si>
  <si>
    <t>tensor</t>
  </si>
  <si>
    <t>S11/S22/S33/S12/S13/S23</t>
  </si>
  <si>
    <t>Cauchy 应力张量（6分量），Pa。</t>
  </si>
  <si>
    <t>S11</t>
  </si>
  <si>
    <t>x 方向正应力，Pa。</t>
  </si>
  <si>
    <t>S22</t>
  </si>
  <si>
    <t>S33</t>
  </si>
  <si>
    <t>S12</t>
  </si>
  <si>
    <t>剪切应力，Pa。</t>
  </si>
  <si>
    <t>S13</t>
  </si>
  <si>
    <t>stress_xz</t>
  </si>
  <si>
    <t>S23</t>
  </si>
  <si>
    <t>MISES</t>
  </si>
  <si>
    <t>Von Mises 等效应力，Pa。结构强度评估最常用的标量指标。</t>
  </si>
  <si>
    <t>PEEQ</t>
  </si>
  <si>
    <t>等效塑性应变，无量纲。</t>
  </si>
  <si>
    <t>PRESS</t>
  </si>
  <si>
    <t>静水压力（应力球量），Pa。注意与 CFD 流体压力（pressure）含义不同。</t>
  </si>
  <si>
    <t>TRESCA</t>
  </si>
  <si>
    <t>Tresca 等效应力，Pa。</t>
  </si>
  <si>
    <t>E</t>
  </si>
  <si>
    <t>E11/E22/E33/E12/E13/E23</t>
  </si>
  <si>
    <t>总应变张量（6分量），无量纲。</t>
  </si>
  <si>
    <t>E11</t>
  </si>
  <si>
    <t>x 方向正应变，无量纲。</t>
  </si>
  <si>
    <t>EE</t>
  </si>
  <si>
    <t>弹性应变，无量纲。</t>
  </si>
  <si>
    <t>PE</t>
  </si>
  <si>
    <t>塑性应变，无量纲。</t>
  </si>
  <si>
    <t>LE</t>
  </si>
  <si>
    <t>对数应变（大变形分析），无量纲。</t>
  </si>
  <si>
    <t>NT</t>
  </si>
  <si>
    <t>节点温度，K 或 °C（取决于分析设置），使用前需确认单位。</t>
  </si>
  <si>
    <t>NT11</t>
  </si>
  <si>
    <t>NT 的另一种表示形式，含义相同。</t>
  </si>
  <si>
    <t>HFL</t>
  </si>
  <si>
    <t>热流密度向量，W/m²。</t>
  </si>
  <si>
    <t>HFL1</t>
  </si>
  <si>
    <t>heat_flux_x</t>
  </si>
  <si>
    <t>CPRESS</t>
  </si>
  <si>
    <t>接触压力，Pa。接触分析输出。</t>
  </si>
  <si>
    <t>CSHEAR</t>
  </si>
  <si>
    <t>接触剪切力，Pa。</t>
  </si>
  <si>
    <t>COPEN</t>
  </si>
  <si>
    <t>接触间隙，m。</t>
  </si>
  <si>
    <t>ELSE</t>
  </si>
  <si>
    <t>弹性应变能密度，J/m³。</t>
  </si>
  <si>
    <t>PENER</t>
  </si>
  <si>
    <t>塑性耗散能量密度，J/m³。</t>
  </si>
  <si>
    <t>FREQ</t>
  </si>
  <si>
    <t>固有频率，Hz。频率提取分析输出。</t>
  </si>
  <si>
    <t>CFD++ (Metacomp Technologies)</t>
  </si>
  <si>
    <t>文件格式：CGNS / Tecplot PLT / 自有 .cfd  |  守恒量形式：rho/rhou/rhov/rhow/rhoE 是原始守恒变量，需除以密度换算  |  导出 CGNS 时遵循 SIDS 命名</t>
  </si>
  <si>
    <t>密度，kg/m³。CFD++ 可压缩流标准变量。</t>
  </si>
  <si>
    <t>rhou</t>
  </si>
  <si>
    <t>÷rho→m/s</t>
  </si>
  <si>
    <t>x 方向动量密度（ρu），kg/(m²·s），需除以密度换算为速度。</t>
  </si>
  <si>
    <t>rhov</t>
  </si>
  <si>
    <t>y 方向动量密度（ρv）。</t>
  </si>
  <si>
    <t>rhow</t>
  </si>
  <si>
    <t>z 方向动量密度（ρw）。</t>
  </si>
  <si>
    <t>rhoE</t>
  </si>
  <si>
    <t>÷rho→J/kg</t>
  </si>
  <si>
    <t>总能量密度（ρE），J/m³，除以密度得单位质量总能量。</t>
  </si>
  <si>
    <t>静压 Pa。CFD++ 可压缩流中 p 是真实静压。</t>
  </si>
  <si>
    <t>速度 x 分量（后处理导出时可能直接输出原始速度）。</t>
  </si>
  <si>
    <t>静温，K。</t>
  </si>
  <si>
    <t>÷rho→m²/s</t>
  </si>
  <si>
    <t>动力湍流粘性 μt，Pa·s。</t>
  </si>
  <si>
    <t>湍动能。</t>
  </si>
  <si>
    <t>k-ω 模型。</t>
  </si>
  <si>
    <t>k-ε 模型。</t>
  </si>
  <si>
    <t>cf</t>
  </si>
  <si>
    <t>部分版本输出此变量。</t>
  </si>
  <si>
    <t>部分版本输出。</t>
  </si>
  <si>
    <t>CFD++ 导出 CGNS 时遵循 SIDS 命名，此时置信度 HIGH。</t>
  </si>
  <si>
    <t>CFD++ 导出 CGNS 时的动量密度命名。</t>
  </si>
  <si>
    <t>EnergyStagnationDensity</t>
  </si>
  <si>
    <t>CGNS SIDS 标准命名，CFD++ 导出 CGNS 时使用。</t>
  </si>
  <si>
    <t>LS-DYNA（显式动力学 / 碰撞 / 冲击 / 金属成形）</t>
  </si>
  <si>
    <t>文件格式：d3plot（二进制序列）/ binout / ascii  |  变量名全大写下划线风格  |  V=结构节点速度（≠CFD流速），PRESSURE=静水压力（≠CFD流体压力）</t>
  </si>
  <si>
    <t>X_DISPLACEMENT</t>
  </si>
  <si>
    <t>节点 x 方向位移，m。LS-DYNA 变量名全大写加下划线风格。</t>
  </si>
  <si>
    <t>Y_DISPLACEMENT</t>
  </si>
  <si>
    <t>Z_DISPLACEMENT</t>
  </si>
  <si>
    <t>X_VELOCITY</t>
  </si>
  <si>
    <t>【重要区分】结构节点速度，m/s，与 CFD 流速完全不同，确认文件来源再使用。</t>
  </si>
  <si>
    <t>Y_VELOCITY</t>
  </si>
  <si>
    <t>Z_VELOCITY</t>
  </si>
  <si>
    <t>X_ACCELERATION</t>
  </si>
  <si>
    <t>Y_ACCELERATION</t>
  </si>
  <si>
    <t>Z_ACCELERATION</t>
  </si>
  <si>
    <t>STRESS_XX</t>
  </si>
  <si>
    <t>STRESS_YY</t>
  </si>
  <si>
    <t>STRESS_ZZ</t>
  </si>
  <si>
    <t>STRESS_XY</t>
  </si>
  <si>
    <t>STRESS_YZ</t>
  </si>
  <si>
    <t>STRESS_ZX</t>
  </si>
  <si>
    <t>EFF_STRESS</t>
  </si>
  <si>
    <t>Von Mises 等效应力（有效应力），Pa。碰撞分析最常用指标。</t>
  </si>
  <si>
    <t>PRESSURE</t>
  </si>
  <si>
    <t>静水压力（应力球量，= -(S11+S22+S33)/3），Pa。与 CFD 流体压力不同。</t>
  </si>
  <si>
    <t>EFF_PSTRAIN</t>
  </si>
  <si>
    <t>等效塑性应变，无量纲。碰撞/成形分析的关键失效判断指标。</t>
  </si>
  <si>
    <t>STRAIN_XX</t>
  </si>
  <si>
    <t>工程应变，无量纲。</t>
  </si>
  <si>
    <t>STRAIN_YY</t>
  </si>
  <si>
    <t>STRAIN_ZZ</t>
  </si>
  <si>
    <t>INT_ENERGY</t>
  </si>
  <si>
    <t>单元内能，J。评估吸能结构的能量吸收。</t>
  </si>
  <si>
    <t>KIN_ENERGY</t>
  </si>
  <si>
    <t>单元动能，J。</t>
  </si>
  <si>
    <t>HOURGLASS_ENERGY</t>
  </si>
  <si>
    <t>沙漏能，J。数值稳定性指标，理想情况应远小于内能（&lt; 5%）。</t>
  </si>
  <si>
    <t>FAILURE</t>
  </si>
  <si>
    <t>单元失效标志，0=未失效，1=失效已删除。</t>
  </si>
  <si>
    <t>CONTACT_FORCE</t>
  </si>
  <si>
    <t>接触力，N。</t>
  </si>
  <si>
    <t>CONTACT_PRESSURE</t>
  </si>
  <si>
    <t>接触压力，Pa。</t>
  </si>
  <si>
    <t>THICKNESS</t>
  </si>
  <si>
    <t>壳单元当前厚度，m。成形分析中监测减薄率的关键量。</t>
  </si>
  <si>
    <t>TEMPERATURE</t>
  </si>
  <si>
    <t>节点温度，K 或 °C，需确认单位设置。热-力耦合或爆炸燃烧分析才有此变量。</t>
  </si>
  <si>
    <t>值域范围判断规则  ·  用于 PLT 等无规范格式的歧义变量辅助识别</t>
  </si>
  <si>
    <t>使用场景：当变量名匹配规则置信度为 LOW 或 MEDIUM 时，结合文件元描述中的 variable_stats（min/max）与本表对比，判断该变量实际对应哪个物理量。判断原则：值域范围与预期物理量的典型范围最接近者优先。</t>
  </si>
  <si>
    <t>典型最小值</t>
  </si>
  <si>
    <t>典型最大值</t>
  </si>
  <si>
    <t>单位</t>
  </si>
  <si>
    <t>判断说明与常见场景</t>
  </si>
  <si>
    <t>真实静压</t>
  </si>
  <si>
    <t>-5000</t>
  </si>
  <si>
    <t>300000</t>
  </si>
  <si>
    <t>海平面大气压 101325 Pa。低速流场范围约 90000~110000；高速/高空场景更宽。若值域在 -500~5000，可能是运动压力，需换算。</t>
  </si>
  <si>
    <t>-500</t>
  </si>
  <si>
    <t>5000</t>
  </si>
  <si>
    <t>90000</t>
  </si>
  <si>
    <t>400000</t>
  </si>
  <si>
    <t>必然 ≥ 静压，低速流约 101500~105000 Pa。</t>
  </si>
  <si>
    <t>-10</t>
  </si>
  <si>
    <t>1.5</t>
  </si>
  <si>
    <t>无量纲。Cp 上界理论值为 1（驻点），下界取决于马赫数。若值域 &gt;&gt;1 或 &lt;&lt;-10，可能是压力不是 Cp。</t>
  </si>
  <si>
    <t>0</t>
  </si>
  <si>
    <t>50000</t>
  </si>
  <si>
    <t>x速度分量</t>
  </si>
  <si>
    <t>500</t>
  </si>
  <si>
    <t>亚声速流 &lt;340 m/s；超声速流可达数千。若值域在 0.01~100 量级且与坐标量级重合，需结合 y/z 变量值域综合判断是否为坐标。</t>
  </si>
  <si>
    <t>y速度分量</t>
  </si>
  <si>
    <t>z速度分量</t>
  </si>
  <si>
    <t>1000</t>
  </si>
  <si>
    <t>恒为正值（幅值）。若出现负值，说明变量不是速度幅值，可能是某方向分量。</t>
  </si>
  <si>
    <t>15</t>
  </si>
  <si>
    <t>无量纲，亚声速 &lt;1，超声速 1~5，高超 &gt;5。若值域超出此范围，变量很可能不是马赫数。</t>
  </si>
  <si>
    <t>coordinate_x</t>
  </si>
  <si>
    <t>x坐标</t>
  </si>
  <si>
    <t>-100</t>
  </si>
  <si>
    <t>100</t>
  </si>
  <si>
    <t>【区分坐标与速度的关键】坐标量级取决于模型尺寸。飞机模型通常 0.1~20 m；风洞模型 0.01~2 m。速度量级通常 0~500 m/s。若 x/y/z 值域与模型尺寸量级一致（远小于速度量级），则为坐标。</t>
  </si>
  <si>
    <t>coordinate_y</t>
  </si>
  <si>
    <t>y坐标</t>
  </si>
  <si>
    <t>coordinate_z</t>
  </si>
  <si>
    <t>z坐标</t>
  </si>
  <si>
    <t>3000</t>
  </si>
  <si>
    <t>海平面约 288 K；高空约 200 K；高超声速气动热可达 3000 K 以上。若值域在 -50~200 范围，可能是摄氏度（°C），需确认单位。</t>
  </si>
  <si>
    <t>0.001</t>
  </si>
  <si>
    <t>海平面空气约 1.225 kg/m³；高空 0.01 量级；液态水 1000。</t>
  </si>
  <si>
    <t>恒为正值。典型外流场 0.01~10；高湍流区可达 100 量级。若出现负值，可能是残差数据或变量识别有误。</t>
  </si>
  <si>
    <t>湍动能耗散率ε</t>
  </si>
  <si>
    <t>100000</t>
  </si>
  <si>
    <t>变化范围极大（近壁面处可极高）。恒为正值。</t>
  </si>
  <si>
    <t>1000000</t>
  </si>
  <si>
    <t>近壁面处极高（可达 10^6），远场约 1~100。恒为正值。</t>
  </si>
  <si>
    <t>运动湍流粘性</t>
  </si>
  <si>
    <t>1</t>
  </si>
  <si>
    <t>空气运动粘性约 1.5×10^-5 m²/s，湍流粘性比（μt/μ）通常 1~1000，对应 nut 约 10^-5~10^-2。</t>
  </si>
  <si>
    <t>无量纲。低雷诺数模型要求 y+&lt;1；高雷诺数壁函数 30&lt;y+&lt;300。若值域远超 1000，网格第一层可能过粗。</t>
  </si>
  <si>
    <t>恒为正值（幅值）。低速流约 0.1~10 Pa；高速流可达数百 Pa。</t>
  </si>
  <si>
    <t>0.1</t>
  </si>
  <si>
    <t>无量纲，典型值 0.001~0.01。若值域超出 0~1 范围，可能是变量识别有误。</t>
  </si>
  <si>
    <t>恒为正值。近壁面和分离区较高；远场接近 0。</t>
  </si>
  <si>
    <t>-1000000</t>
  </si>
  <si>
    <t>可正可负。Q&gt;0 的区域被识别为涡结构。值域范围因流场差异极大，不适合用于变量识别，仅用于排除明显错误。</t>
  </si>
  <si>
    <t>使用注意：以上典型值域范围基于常见工程算例总结，不覆盖极端工况（高超声速、爆炸冲击波等）。当值域范围判断结果仍存在歧义时，应触发用户确认机制，不应强行映射。</t>
  </si>
  <si>
    <t>同名异义高风险变量汇总  ·  这些变量名跨求解器含义不同，必须结合求解器类型判断</t>
  </si>
  <si>
    <t>变量名</t>
  </si>
  <si>
    <t>求解器/场景</t>
  </si>
  <si>
    <t>实际含义</t>
  </si>
  <si>
    <t>处理方式</t>
  </si>
  <si>
    <t>OpenFOAM 不可压（simpleFoam等）</t>
  </si>
  <si>
    <t>运动压力 p/ρ</t>
  </si>
  <si>
    <t>×ρ 换算为真实压力 Pa，再进行积分</t>
  </si>
  <si>
    <t>OpenFOAM 可压（rhoCentralFoam等）</t>
  </si>
  <si>
    <t>直接使用</t>
  </si>
  <si>
    <t>表压（操作压力偏移）</t>
  </si>
  <si>
    <t>+操作压力（通常101325Pa）→绝对压</t>
  </si>
  <si>
    <t>绝对静压</t>
  </si>
  <si>
    <t>Tecplot（通用）</t>
  </si>
  <si>
    <t>由写入方决定</t>
  </si>
  <si>
    <t>不确定</t>
  </si>
  <si>
    <t>结合值域范围判断：若量级在-1000~10000→可能是Pa；若在-1~100→可能是运动压力</t>
  </si>
  <si>
    <t>速度向量</t>
  </si>
  <si>
    <t>U[0/1/2] 分别是 x/y/z 分量</t>
  </si>
  <si>
    <t>Tecplot</t>
  </si>
  <si>
    <t>可能是速度幅值</t>
  </si>
  <si>
    <t>需确认是向量还是标量</t>
  </si>
  <si>
    <t>OpenFOAM 可压 / Fluent / CFX</t>
  </si>
  <si>
    <t>动力湍流粘性 μt</t>
  </si>
  <si>
    <t>Pa·s</t>
  </si>
  <si>
    <t>÷ρ → 运动湍流粘性 νt (m²/s)</t>
  </si>
  <si>
    <t>OpenFOAM 不可压</t>
  </si>
  <si>
    <t>直接使用，无需换算</t>
  </si>
  <si>
    <t>动量密度 ρu</t>
  </si>
  <si>
    <t>kg/(m²·s)</t>
  </si>
  <si>
    <t>÷ρ → 速度分量 u (m/s)</t>
  </si>
  <si>
    <t>坐标 或 x速度分量</t>
  </si>
  <si>
    <t>m 或 m/s</t>
  </si>
  <si>
    <t>结合值域范围判断，坐标量级通常远大于速度</t>
  </si>
  <si>
    <t>Q准则 或 流量</t>
  </si>
  <si>
    <t>结合值域范围和其他变量共同判断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</si>
</sst>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family val="2"/>
      <scheme val="minor"/>
    </font>
    <font>
      <b/>
      <sz val="13"/>
      <color rgb="FFFFFFFF"/>
      <name val="Arial"/>
    </font>
    <font>
      <b/>
      <sz val="9"/>
      <color rgb="FF1F4E79"/>
      <name val="Arial"/>
    </font>
    <font>
      <sz val="9"/>
      <color rgb="FF2E2E2E"/>
      <name val="Arial"/>
    </font>
    <font>
      <b/>
      <sz val="10"/>
      <color rgb="FFFFFFFF"/>
      <name val="Arial"/>
    </font>
    <font>
      <b/>
      <sz val="10"/>
      <color rgb="FF1F4E79"/>
      <name val="Arial"/>
    </font>
    <font>
      <b/>
      <sz val="10"/>
      <color rgb="FF375623"/>
      <name val="Arial"/>
    </font>
    <font>
      <b/>
      <sz val="10"/>
      <color rgb="FF7F3F00"/>
      <name val="Arial"/>
    </font>
    <font>
      <b/>
      <sz val="10"/>
      <color rgb="FF4B0082"/>
      <name val="Arial"/>
    </font>
    <font>
      <b/>
      <sz val="10"/>
      <color rgb="FF6D1F1F"/>
      <name val="Arial"/>
    </font>
    <font>
      <b/>
      <sz val="10"/>
      <color rgb="FF595959"/>
      <name val="Arial"/>
    </font>
    <font>
      <b/>
      <sz val="9"/>
      <color rgb="FF375623"/>
      <name val="Arial"/>
    </font>
    <font>
      <b/>
      <sz val="9"/>
      <color rgb="FF7F6000"/>
      <name val="Arial"/>
    </font>
    <font>
      <b/>
      <sz val="9"/>
      <color rgb="FF7F3F00"/>
      <name val="Arial"/>
    </font>
    <font>
      <u/>
      <sz val="9"/>
      <color rgb="FF0563C1"/>
      <name val="Arial"/>
    </font>
    <font>
      <b/>
      <sz val="9"/>
      <color rgb="FFC00000"/>
      <name val="Arial"/>
    </font>
    <font>
      <sz val="9"/>
      <color rgb="FF7F6000"/>
      <name val="Arial"/>
    </font>
    <font>
      <sz val="9"/>
      <color rgb="FF7F3F00"/>
      <name val="Arial"/>
    </font>
    <font>
      <sz val="9"/>
      <color rgb="FF1F4E79"/>
      <name val="Arial"/>
    </font>
    <font>
      <sz val="9"/>
      <name val="宋体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A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DE7F6"/>
      </patternFill>
    </fill>
    <fill>
      <patternFill patternType="solid">
        <fgColor rgb="FFDDEEFF"/>
      </patternFill>
    </fill>
    <fill>
      <patternFill patternType="solid">
        <fgColor rgb="FFF8CECC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E0E0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5" fillId="0" borderId="0" xfId="0" applyFont="1"/>
    <xf numFmtId="0" fontId="12" fillId="13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6" fillId="13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8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17" fillId="8" borderId="0" xfId="0" applyFont="1" applyFill="1" applyAlignment="1">
      <alignment horizontal="left" vertical="center" wrapText="1"/>
    </xf>
    <xf numFmtId="0" fontId="18" fillId="6" borderId="0" xfId="0" applyFont="1" applyFill="1" applyAlignment="1">
      <alignment horizontal="left" vertical="center" wrapText="1"/>
    </xf>
    <xf numFmtId="0" fontId="16" fillId="13" borderId="0" xfId="0" applyFont="1" applyFill="1" applyAlignment="1">
      <alignment horizontal="left" vertical="center" wrapText="1"/>
    </xf>
    <xf numFmtId="0" fontId="1" fillId="15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showGridLines="0" workbookViewId="0">
      <selection sqref="A1:B1"/>
    </sheetView>
  </sheetViews>
  <sheetFormatPr defaultRowHeight="14" x14ac:dyDescent="0.25"/>
  <cols>
    <col min="1" max="1" width="18" customWidth="1"/>
    <col min="2" max="2" width="80" customWidth="1"/>
  </cols>
  <sheetData>
    <row r="1" spans="1:2" ht="34" customHeight="1" x14ac:dyDescent="0.25">
      <c r="A1" s="19" t="s">
        <v>0</v>
      </c>
      <c r="B1" s="20"/>
    </row>
    <row r="2" spans="1:2" ht="70" customHeight="1" x14ac:dyDescent="0.25">
      <c r="A2" s="1" t="s">
        <v>1</v>
      </c>
      <c r="B2" s="2" t="s">
        <v>2</v>
      </c>
    </row>
    <row r="3" spans="1:2" ht="70" customHeight="1" x14ac:dyDescent="0.25">
      <c r="A3" s="1" t="s">
        <v>3</v>
      </c>
      <c r="B3" s="2" t="s">
        <v>4</v>
      </c>
    </row>
    <row r="4" spans="1:2" ht="70" customHeight="1" x14ac:dyDescent="0.25">
      <c r="A4" s="1" t="s">
        <v>5</v>
      </c>
      <c r="B4" s="2" t="s">
        <v>6</v>
      </c>
    </row>
    <row r="5" spans="1:2" ht="70" customHeight="1" x14ac:dyDescent="0.25">
      <c r="A5" s="1" t="s">
        <v>7</v>
      </c>
      <c r="B5" s="2" t="s">
        <v>8</v>
      </c>
    </row>
    <row r="6" spans="1:2" ht="70" customHeight="1" x14ac:dyDescent="0.25">
      <c r="A6" s="1" t="s">
        <v>9</v>
      </c>
      <c r="B6" s="2" t="s">
        <v>10</v>
      </c>
    </row>
    <row r="7" spans="1:2" ht="50" customHeight="1" x14ac:dyDescent="0.25">
      <c r="A7" s="1" t="s">
        <v>11</v>
      </c>
      <c r="B7" s="2" t="s">
        <v>12</v>
      </c>
    </row>
    <row r="8" spans="1:2" ht="50" customHeight="1" x14ac:dyDescent="0.25">
      <c r="A8" s="1" t="s">
        <v>13</v>
      </c>
      <c r="B8" s="2" t="s">
        <v>14</v>
      </c>
    </row>
    <row r="9" spans="1:2" ht="50" customHeight="1" x14ac:dyDescent="0.25">
      <c r="A9" s="1" t="s">
        <v>15</v>
      </c>
      <c r="B9" s="2" t="s">
        <v>16</v>
      </c>
    </row>
  </sheetData>
  <mergeCells count="1">
    <mergeCell ref="A1:B1"/>
  </mergeCells>
  <phoneticPr fontId="1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9"/>
  <sheetViews>
    <sheetView showGridLines="0" workbookViewId="0">
      <selection activeCell="B14" sqref="B14"/>
    </sheetView>
  </sheetViews>
  <sheetFormatPr defaultRowHeight="14" x14ac:dyDescent="0.25"/>
  <cols>
    <col min="1" max="1" width="32" customWidth="1"/>
    <col min="2" max="2" width="20" customWidth="1"/>
    <col min="3" max="3" width="14" customWidth="1"/>
    <col min="4" max="4" width="12" customWidth="1"/>
    <col min="5" max="5" width="58" customWidth="1"/>
  </cols>
  <sheetData>
    <row r="1" spans="1:5" ht="34" customHeight="1" x14ac:dyDescent="0.25">
      <c r="A1" s="19" t="s">
        <v>17</v>
      </c>
      <c r="B1" s="20"/>
      <c r="C1" s="20"/>
      <c r="D1" s="20"/>
      <c r="E1" s="20"/>
    </row>
    <row r="2" spans="1:5" ht="22" customHeight="1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</row>
    <row r="3" spans="1:5" ht="18" customHeight="1" x14ac:dyDescent="0.25">
      <c r="A3" s="27" t="s">
        <v>23</v>
      </c>
      <c r="B3" s="20"/>
      <c r="C3" s="20"/>
      <c r="D3" s="20"/>
      <c r="E3" s="20"/>
    </row>
    <row r="4" spans="1:5" ht="20" customHeight="1" x14ac:dyDescent="0.25">
      <c r="A4" s="4" t="s">
        <v>24</v>
      </c>
      <c r="B4" s="4" t="s">
        <v>25</v>
      </c>
      <c r="C4" s="4" t="s">
        <v>26</v>
      </c>
      <c r="D4" s="5" t="s">
        <v>27</v>
      </c>
      <c r="E4" s="4" t="s">
        <v>28</v>
      </c>
    </row>
    <row r="5" spans="1:5" ht="20" customHeight="1" x14ac:dyDescent="0.25">
      <c r="A5" s="2" t="s">
        <v>29</v>
      </c>
      <c r="B5" s="2" t="s">
        <v>30</v>
      </c>
      <c r="C5" s="2" t="s">
        <v>31</v>
      </c>
      <c r="D5" s="6" t="s">
        <v>27</v>
      </c>
      <c r="E5" s="2" t="e">
        <f>p/ρ。OpenFOAM不可压默认输出。【坑】同为p但与真实压力差约1000倍,必须乘密度换算。</f>
        <v>#NAME?</v>
      </c>
    </row>
    <row r="6" spans="1:5" ht="20" customHeight="1" x14ac:dyDescent="0.25">
      <c r="A6" s="4" t="s">
        <v>32</v>
      </c>
      <c r="B6" s="4" t="s">
        <v>33</v>
      </c>
      <c r="C6" s="4" t="s">
        <v>26</v>
      </c>
      <c r="D6" s="5" t="s">
        <v>27</v>
      </c>
      <c r="E6" s="4"/>
    </row>
    <row r="7" spans="1:5" ht="20" customHeight="1" x14ac:dyDescent="0.25">
      <c r="A7" s="2" t="s">
        <v>34</v>
      </c>
      <c r="B7" s="2" t="s">
        <v>35</v>
      </c>
      <c r="C7" s="2" t="s">
        <v>36</v>
      </c>
      <c r="D7" s="6" t="s">
        <v>27</v>
      </c>
      <c r="E7" s="2"/>
    </row>
    <row r="8" spans="1:5" ht="20" customHeight="1" x14ac:dyDescent="0.25">
      <c r="A8" s="4" t="s">
        <v>37</v>
      </c>
      <c r="B8" s="4" t="s">
        <v>38</v>
      </c>
      <c r="C8" s="4" t="s">
        <v>26</v>
      </c>
      <c r="D8" s="5" t="s">
        <v>27</v>
      </c>
      <c r="E8" s="4"/>
    </row>
    <row r="9" spans="1:5" ht="20" customHeight="1" x14ac:dyDescent="0.25">
      <c r="A9" s="2" t="s">
        <v>39</v>
      </c>
      <c r="B9" s="2" t="s">
        <v>40</v>
      </c>
      <c r="C9" s="2" t="s">
        <v>41</v>
      </c>
      <c r="D9" s="6" t="s">
        <v>27</v>
      </c>
      <c r="E9" s="2" t="s">
        <v>42</v>
      </c>
    </row>
    <row r="10" spans="1:5" ht="20" customHeight="1" x14ac:dyDescent="0.25">
      <c r="A10" s="4" t="s">
        <v>43</v>
      </c>
      <c r="B10" s="4" t="s">
        <v>44</v>
      </c>
      <c r="C10" s="4" t="s">
        <v>41</v>
      </c>
      <c r="D10" s="5" t="s">
        <v>27</v>
      </c>
      <c r="E10" s="4"/>
    </row>
    <row r="11" spans="1:5" ht="20" customHeight="1" x14ac:dyDescent="0.25">
      <c r="A11" s="2" t="s">
        <v>45</v>
      </c>
      <c r="B11" s="2" t="s">
        <v>46</v>
      </c>
      <c r="C11" s="2" t="s">
        <v>41</v>
      </c>
      <c r="D11" s="6" t="s">
        <v>27</v>
      </c>
      <c r="E11" s="2"/>
    </row>
    <row r="12" spans="1:5" ht="20" customHeight="1" x14ac:dyDescent="0.25">
      <c r="A12" s="4" t="s">
        <v>47</v>
      </c>
      <c r="B12" s="4" t="s">
        <v>48</v>
      </c>
      <c r="C12" s="4" t="s">
        <v>41</v>
      </c>
      <c r="D12" s="5" t="s">
        <v>27</v>
      </c>
      <c r="E12" s="4"/>
    </row>
    <row r="13" spans="1:5" ht="20" customHeight="1" x14ac:dyDescent="0.25">
      <c r="A13" s="2" t="s">
        <v>49</v>
      </c>
      <c r="B13" s="2" t="s">
        <v>50</v>
      </c>
      <c r="C13" s="2" t="s">
        <v>36</v>
      </c>
      <c r="D13" s="6" t="s">
        <v>27</v>
      </c>
      <c r="E13" s="2"/>
    </row>
    <row r="14" spans="1:5" ht="20" customHeight="1" x14ac:dyDescent="0.25">
      <c r="A14" s="4" t="s">
        <v>51</v>
      </c>
      <c r="B14" s="4" t="s">
        <v>52</v>
      </c>
      <c r="C14" s="4" t="s">
        <v>53</v>
      </c>
      <c r="D14" s="5" t="s">
        <v>27</v>
      </c>
      <c r="E14" s="4" t="s">
        <v>54</v>
      </c>
    </row>
    <row r="15" spans="1:5" ht="18" customHeight="1" x14ac:dyDescent="0.25">
      <c r="A15" s="23" t="s">
        <v>55</v>
      </c>
      <c r="B15" s="20"/>
      <c r="C15" s="20"/>
      <c r="D15" s="20"/>
      <c r="E15" s="20"/>
    </row>
    <row r="16" spans="1:5" ht="20" customHeight="1" x14ac:dyDescent="0.25">
      <c r="A16" s="4" t="s">
        <v>56</v>
      </c>
      <c r="B16" s="4" t="s">
        <v>57</v>
      </c>
      <c r="C16" s="4" t="s">
        <v>58</v>
      </c>
      <c r="D16" s="5" t="s">
        <v>27</v>
      </c>
      <c r="E16" s="4" t="s">
        <v>59</v>
      </c>
    </row>
    <row r="17" spans="1:5" ht="20" customHeight="1" x14ac:dyDescent="0.25">
      <c r="A17" s="2" t="s">
        <v>60</v>
      </c>
      <c r="B17" s="2" t="s">
        <v>61</v>
      </c>
      <c r="C17" s="2" t="s">
        <v>62</v>
      </c>
      <c r="D17" s="6" t="s">
        <v>27</v>
      </c>
      <c r="E17" s="2"/>
    </row>
    <row r="18" spans="1:5" ht="20" customHeight="1" x14ac:dyDescent="0.25">
      <c r="A18" s="4" t="s">
        <v>63</v>
      </c>
      <c r="B18" s="4" t="s">
        <v>64</v>
      </c>
      <c r="C18" s="4" t="s">
        <v>62</v>
      </c>
      <c r="D18" s="5" t="s">
        <v>27</v>
      </c>
      <c r="E18" s="4"/>
    </row>
    <row r="19" spans="1:5" ht="20" customHeight="1" x14ac:dyDescent="0.25">
      <c r="A19" s="2" t="s">
        <v>65</v>
      </c>
      <c r="B19" s="2" t="s">
        <v>66</v>
      </c>
      <c r="C19" s="2" t="s">
        <v>67</v>
      </c>
      <c r="D19" s="6" t="s">
        <v>68</v>
      </c>
      <c r="E19" s="2" t="s">
        <v>69</v>
      </c>
    </row>
    <row r="20" spans="1:5" ht="20" customHeight="1" x14ac:dyDescent="0.25">
      <c r="A20" s="4" t="s">
        <v>70</v>
      </c>
      <c r="B20" s="4" t="s">
        <v>71</v>
      </c>
      <c r="C20" s="4" t="s">
        <v>67</v>
      </c>
      <c r="D20" s="5" t="s">
        <v>27</v>
      </c>
      <c r="E20" s="4" t="s">
        <v>72</v>
      </c>
    </row>
    <row r="21" spans="1:5" ht="18" customHeight="1" x14ac:dyDescent="0.25">
      <c r="A21" s="21" t="s">
        <v>73</v>
      </c>
      <c r="B21" s="20"/>
      <c r="C21" s="20"/>
      <c r="D21" s="20"/>
      <c r="E21" s="20"/>
    </row>
    <row r="22" spans="1:5" ht="20" customHeight="1" x14ac:dyDescent="0.25">
      <c r="A22" s="4" t="s">
        <v>74</v>
      </c>
      <c r="B22" s="4" t="s">
        <v>75</v>
      </c>
      <c r="C22" s="4" t="s">
        <v>31</v>
      </c>
      <c r="D22" s="5" t="s">
        <v>27</v>
      </c>
      <c r="E22" s="4" t="s">
        <v>76</v>
      </c>
    </row>
    <row r="23" spans="1:5" ht="20" customHeight="1" x14ac:dyDescent="0.25">
      <c r="A23" s="2" t="s">
        <v>77</v>
      </c>
      <c r="B23" s="2" t="s">
        <v>78</v>
      </c>
      <c r="C23" s="2" t="s">
        <v>79</v>
      </c>
      <c r="D23" s="6" t="s">
        <v>27</v>
      </c>
      <c r="E23" s="2" t="s">
        <v>80</v>
      </c>
    </row>
    <row r="24" spans="1:5" ht="20" customHeight="1" x14ac:dyDescent="0.25">
      <c r="A24" s="4" t="s">
        <v>81</v>
      </c>
      <c r="B24" s="4" t="s">
        <v>82</v>
      </c>
      <c r="C24" s="4" t="s">
        <v>83</v>
      </c>
      <c r="D24" s="5" t="s">
        <v>27</v>
      </c>
      <c r="E24" s="4" t="s">
        <v>84</v>
      </c>
    </row>
    <row r="25" spans="1:5" ht="20" customHeight="1" x14ac:dyDescent="0.25">
      <c r="A25" s="2" t="s">
        <v>85</v>
      </c>
      <c r="B25" s="2" t="s">
        <v>86</v>
      </c>
      <c r="C25" s="2" t="s">
        <v>87</v>
      </c>
      <c r="D25" s="6" t="s">
        <v>27</v>
      </c>
      <c r="E25" s="2" t="s">
        <v>88</v>
      </c>
    </row>
    <row r="26" spans="1:5" ht="20" customHeight="1" x14ac:dyDescent="0.25">
      <c r="A26" s="4" t="s">
        <v>89</v>
      </c>
      <c r="B26" s="4" t="s">
        <v>90</v>
      </c>
      <c r="C26" s="4" t="s">
        <v>36</v>
      </c>
      <c r="D26" s="5" t="s">
        <v>27</v>
      </c>
      <c r="E26" s="4"/>
    </row>
    <row r="27" spans="1:5" ht="18" customHeight="1" x14ac:dyDescent="0.25">
      <c r="A27" s="26" t="s">
        <v>91</v>
      </c>
      <c r="B27" s="20"/>
      <c r="C27" s="20"/>
      <c r="D27" s="20"/>
      <c r="E27" s="20"/>
    </row>
    <row r="28" spans="1:5" ht="20" customHeight="1" x14ac:dyDescent="0.25">
      <c r="A28" s="4" t="s">
        <v>92</v>
      </c>
      <c r="B28" s="4" t="s">
        <v>93</v>
      </c>
      <c r="C28" s="4" t="s">
        <v>26</v>
      </c>
      <c r="D28" s="5" t="s">
        <v>94</v>
      </c>
      <c r="E28" s="4" t="s">
        <v>95</v>
      </c>
    </row>
    <row r="29" spans="1:5" ht="20" customHeight="1" x14ac:dyDescent="0.25">
      <c r="A29" s="2" t="s">
        <v>96</v>
      </c>
      <c r="B29" s="2" t="s">
        <v>97</v>
      </c>
      <c r="C29" s="2" t="s">
        <v>36</v>
      </c>
      <c r="D29" s="6" t="s">
        <v>27</v>
      </c>
      <c r="E29" s="2" t="s">
        <v>98</v>
      </c>
    </row>
    <row r="30" spans="1:5" ht="20" customHeight="1" x14ac:dyDescent="0.25">
      <c r="A30" s="4" t="s">
        <v>99</v>
      </c>
      <c r="B30" s="4" t="s">
        <v>100</v>
      </c>
      <c r="C30" s="4" t="s">
        <v>36</v>
      </c>
      <c r="D30" s="5" t="s">
        <v>27</v>
      </c>
      <c r="E30" s="4"/>
    </row>
    <row r="31" spans="1:5" ht="18" customHeight="1" x14ac:dyDescent="0.25">
      <c r="A31" s="24" t="s">
        <v>101</v>
      </c>
      <c r="B31" s="20"/>
      <c r="C31" s="20"/>
      <c r="D31" s="20"/>
      <c r="E31" s="20"/>
    </row>
    <row r="32" spans="1:5" ht="20" customHeight="1" x14ac:dyDescent="0.25">
      <c r="A32" s="4" t="s">
        <v>102</v>
      </c>
      <c r="B32" s="4" t="s">
        <v>103</v>
      </c>
      <c r="C32" s="4" t="s">
        <v>83</v>
      </c>
      <c r="D32" s="5" t="s">
        <v>27</v>
      </c>
      <c r="E32" s="4" t="s">
        <v>104</v>
      </c>
    </row>
    <row r="33" spans="1:5" ht="20" customHeight="1" x14ac:dyDescent="0.25">
      <c r="A33" s="2" t="s">
        <v>105</v>
      </c>
      <c r="B33" s="2" t="s">
        <v>106</v>
      </c>
      <c r="C33" s="2" t="s">
        <v>83</v>
      </c>
      <c r="D33" s="6" t="s">
        <v>27</v>
      </c>
      <c r="E33" s="2"/>
    </row>
    <row r="34" spans="1:5" ht="20" customHeight="1" x14ac:dyDescent="0.25">
      <c r="A34" s="4" t="s">
        <v>107</v>
      </c>
      <c r="B34" s="4" t="s">
        <v>108</v>
      </c>
      <c r="C34" s="4" t="s">
        <v>83</v>
      </c>
      <c r="D34" s="5" t="s">
        <v>27</v>
      </c>
      <c r="E34" s="4"/>
    </row>
    <row r="35" spans="1:5" ht="20" customHeight="1" x14ac:dyDescent="0.25">
      <c r="A35" s="2" t="s">
        <v>109</v>
      </c>
      <c r="B35" s="2" t="s">
        <v>110</v>
      </c>
      <c r="C35" s="2" t="s">
        <v>83</v>
      </c>
      <c r="D35" s="6" t="s">
        <v>27</v>
      </c>
      <c r="E35" s="2"/>
    </row>
    <row r="36" spans="1:5" ht="20" customHeight="1" x14ac:dyDescent="0.25">
      <c r="A36" s="4" t="s">
        <v>111</v>
      </c>
      <c r="B36" s="4" t="s">
        <v>112</v>
      </c>
      <c r="C36" s="4" t="s">
        <v>113</v>
      </c>
      <c r="D36" s="5" t="s">
        <v>27</v>
      </c>
      <c r="E36" s="4" t="s">
        <v>114</v>
      </c>
    </row>
    <row r="37" spans="1:5" ht="18" customHeight="1" x14ac:dyDescent="0.25">
      <c r="A37" s="22" t="s">
        <v>115</v>
      </c>
      <c r="B37" s="20"/>
      <c r="C37" s="20"/>
      <c r="D37" s="20"/>
      <c r="E37" s="20"/>
    </row>
    <row r="38" spans="1:5" ht="20" customHeight="1" x14ac:dyDescent="0.25">
      <c r="A38" s="4" t="s">
        <v>116</v>
      </c>
      <c r="B38" s="4" t="s">
        <v>117</v>
      </c>
      <c r="C38" s="4" t="s">
        <v>118</v>
      </c>
      <c r="D38" s="5" t="s">
        <v>27</v>
      </c>
      <c r="E38" s="4" t="s">
        <v>119</v>
      </c>
    </row>
    <row r="39" spans="1:5" ht="20" customHeight="1" x14ac:dyDescent="0.25">
      <c r="A39" s="2" t="s">
        <v>120</v>
      </c>
      <c r="B39" s="2" t="s">
        <v>121</v>
      </c>
      <c r="C39" s="2" t="s">
        <v>118</v>
      </c>
      <c r="D39" s="6" t="s">
        <v>27</v>
      </c>
      <c r="E39" s="2"/>
    </row>
    <row r="40" spans="1:5" ht="20" customHeight="1" x14ac:dyDescent="0.25">
      <c r="A40" s="4" t="s">
        <v>122</v>
      </c>
      <c r="B40" s="4" t="s">
        <v>123</v>
      </c>
      <c r="C40" s="4" t="s">
        <v>118</v>
      </c>
      <c r="D40" s="5" t="s">
        <v>27</v>
      </c>
      <c r="E40" s="4"/>
    </row>
    <row r="41" spans="1:5" ht="20" customHeight="1" x14ac:dyDescent="0.25">
      <c r="A41" s="2" t="s">
        <v>124</v>
      </c>
      <c r="B41" s="2" t="s">
        <v>125</v>
      </c>
      <c r="C41" s="2" t="s">
        <v>118</v>
      </c>
      <c r="D41" s="6" t="s">
        <v>27</v>
      </c>
      <c r="E41" s="2"/>
    </row>
    <row r="42" spans="1:5" ht="20" customHeight="1" x14ac:dyDescent="0.25">
      <c r="A42" s="4" t="s">
        <v>126</v>
      </c>
      <c r="B42" s="4" t="s">
        <v>127</v>
      </c>
      <c r="C42" s="4" t="s">
        <v>128</v>
      </c>
      <c r="D42" s="5" t="s">
        <v>27</v>
      </c>
      <c r="E42" s="4" t="s">
        <v>129</v>
      </c>
    </row>
    <row r="43" spans="1:5" ht="20" customHeight="1" x14ac:dyDescent="0.25">
      <c r="A43" s="2" t="s">
        <v>130</v>
      </c>
      <c r="B43" s="2" t="s">
        <v>131</v>
      </c>
      <c r="C43" s="2" t="s">
        <v>128</v>
      </c>
      <c r="D43" s="6" t="s">
        <v>27</v>
      </c>
      <c r="E43" s="2"/>
    </row>
    <row r="44" spans="1:5" ht="20" customHeight="1" x14ac:dyDescent="0.25">
      <c r="A44" s="4" t="s">
        <v>132</v>
      </c>
      <c r="B44" s="4" t="s">
        <v>133</v>
      </c>
      <c r="C44" s="4" t="s">
        <v>128</v>
      </c>
      <c r="D44" s="5" t="s">
        <v>27</v>
      </c>
      <c r="E44" s="4"/>
    </row>
    <row r="45" spans="1:5" ht="20" customHeight="1" x14ac:dyDescent="0.25">
      <c r="A45" s="2" t="s">
        <v>134</v>
      </c>
      <c r="B45" s="2" t="s">
        <v>135</v>
      </c>
      <c r="C45" s="2" t="s">
        <v>41</v>
      </c>
      <c r="D45" s="6" t="s">
        <v>27</v>
      </c>
      <c r="E45" s="2" t="s">
        <v>136</v>
      </c>
    </row>
    <row r="46" spans="1:5" ht="20" customHeight="1" x14ac:dyDescent="0.25">
      <c r="A46" s="4" t="s">
        <v>137</v>
      </c>
      <c r="B46" s="4" t="s">
        <v>138</v>
      </c>
      <c r="C46" s="4" t="s">
        <v>41</v>
      </c>
      <c r="D46" s="5" t="s">
        <v>27</v>
      </c>
      <c r="E46" s="4" t="s">
        <v>139</v>
      </c>
    </row>
    <row r="47" spans="1:5" ht="20" customHeight="1" x14ac:dyDescent="0.25">
      <c r="A47" s="2" t="s">
        <v>140</v>
      </c>
      <c r="B47" s="2" t="s">
        <v>141</v>
      </c>
      <c r="C47" s="2" t="s">
        <v>41</v>
      </c>
      <c r="D47" s="6" t="s">
        <v>27</v>
      </c>
      <c r="E47" s="2" t="s">
        <v>139</v>
      </c>
    </row>
    <row r="48" spans="1:5" ht="20" customHeight="1" x14ac:dyDescent="0.25">
      <c r="A48" s="4" t="s">
        <v>142</v>
      </c>
      <c r="B48" s="4" t="s">
        <v>143</v>
      </c>
      <c r="C48" s="4" t="s">
        <v>144</v>
      </c>
      <c r="D48" s="5" t="s">
        <v>27</v>
      </c>
      <c r="E48" s="4" t="s">
        <v>145</v>
      </c>
    </row>
    <row r="49" spans="1:5" ht="20" customHeight="1" x14ac:dyDescent="0.25">
      <c r="A49" s="2" t="s">
        <v>146</v>
      </c>
      <c r="B49" s="2" t="s">
        <v>147</v>
      </c>
      <c r="C49" s="2" t="s">
        <v>144</v>
      </c>
      <c r="D49" s="6" t="s">
        <v>27</v>
      </c>
      <c r="E49" s="2"/>
    </row>
    <row r="50" spans="1:5" ht="20" customHeight="1" x14ac:dyDescent="0.25">
      <c r="A50" s="4" t="s">
        <v>148</v>
      </c>
      <c r="B50" s="4" t="s">
        <v>149</v>
      </c>
      <c r="C50" s="4" t="s">
        <v>144</v>
      </c>
      <c r="D50" s="5" t="s">
        <v>27</v>
      </c>
      <c r="E50" s="4"/>
    </row>
    <row r="51" spans="1:5" ht="18" customHeight="1" x14ac:dyDescent="0.25">
      <c r="A51" s="22" t="s">
        <v>150</v>
      </c>
      <c r="B51" s="20"/>
      <c r="C51" s="20"/>
      <c r="D51" s="20"/>
      <c r="E51" s="20"/>
    </row>
    <row r="52" spans="1:5" ht="20" customHeight="1" x14ac:dyDescent="0.25">
      <c r="A52" s="4" t="s">
        <v>151</v>
      </c>
      <c r="B52" s="4" t="s">
        <v>152</v>
      </c>
      <c r="C52" s="4" t="s">
        <v>26</v>
      </c>
      <c r="D52" s="5" t="s">
        <v>27</v>
      </c>
      <c r="E52" s="4" t="s">
        <v>153</v>
      </c>
    </row>
    <row r="53" spans="1:5" ht="20" customHeight="1" x14ac:dyDescent="0.25">
      <c r="A53" s="2" t="s">
        <v>154</v>
      </c>
      <c r="B53" s="2" t="s">
        <v>155</v>
      </c>
      <c r="C53" s="2" t="s">
        <v>26</v>
      </c>
      <c r="D53" s="6" t="s">
        <v>27</v>
      </c>
      <c r="E53" s="2"/>
    </row>
    <row r="54" spans="1:5" ht="20" customHeight="1" x14ac:dyDescent="0.25">
      <c r="A54" s="4" t="s">
        <v>156</v>
      </c>
      <c r="B54" s="4" t="s">
        <v>157</v>
      </c>
      <c r="C54" s="4" t="s">
        <v>26</v>
      </c>
      <c r="D54" s="5" t="s">
        <v>27</v>
      </c>
      <c r="E54" s="4"/>
    </row>
    <row r="55" spans="1:5" ht="20" customHeight="1" x14ac:dyDescent="0.25">
      <c r="A55" s="2" t="s">
        <v>158</v>
      </c>
      <c r="B55" s="2" t="s">
        <v>159</v>
      </c>
      <c r="C55" s="2" t="s">
        <v>26</v>
      </c>
      <c r="D55" s="6" t="s">
        <v>27</v>
      </c>
      <c r="E55" s="2"/>
    </row>
    <row r="56" spans="1:5" ht="20" customHeight="1" x14ac:dyDescent="0.25">
      <c r="A56" s="4" t="s">
        <v>160</v>
      </c>
      <c r="B56" s="4" t="s">
        <v>161</v>
      </c>
      <c r="C56" s="4" t="s">
        <v>26</v>
      </c>
      <c r="D56" s="5" t="s">
        <v>27</v>
      </c>
      <c r="E56" s="4"/>
    </row>
    <row r="57" spans="1:5" ht="20" customHeight="1" x14ac:dyDescent="0.25">
      <c r="A57" s="2" t="s">
        <v>162</v>
      </c>
      <c r="B57" s="2" t="s">
        <v>163</v>
      </c>
      <c r="C57" s="2" t="s">
        <v>26</v>
      </c>
      <c r="D57" s="6" t="s">
        <v>27</v>
      </c>
      <c r="E57" s="2"/>
    </row>
    <row r="58" spans="1:5" ht="20" customHeight="1" x14ac:dyDescent="0.25">
      <c r="A58" s="4" t="s">
        <v>164</v>
      </c>
      <c r="B58" s="4" t="s">
        <v>165</v>
      </c>
      <c r="C58" s="4" t="s">
        <v>26</v>
      </c>
      <c r="D58" s="5" t="s">
        <v>27</v>
      </c>
      <c r="E58" s="4" t="s">
        <v>166</v>
      </c>
    </row>
    <row r="59" spans="1:5" ht="20" customHeight="1" x14ac:dyDescent="0.25">
      <c r="A59" s="2" t="s">
        <v>167</v>
      </c>
      <c r="B59" s="2" t="s">
        <v>168</v>
      </c>
      <c r="C59" s="2" t="s">
        <v>26</v>
      </c>
      <c r="D59" s="6" t="s">
        <v>27</v>
      </c>
      <c r="E59" s="2" t="e">
        <f>max主应力差,恒为正值。</f>
        <v>#NAME?</v>
      </c>
    </row>
    <row r="60" spans="1:5" ht="20" customHeight="1" x14ac:dyDescent="0.25">
      <c r="A60" s="4" t="s">
        <v>169</v>
      </c>
      <c r="B60" s="4" t="s">
        <v>170</v>
      </c>
      <c r="C60" s="4" t="s">
        <v>26</v>
      </c>
      <c r="D60" s="5" t="s">
        <v>27</v>
      </c>
      <c r="E60" s="4"/>
    </row>
    <row r="61" spans="1:5" ht="20" customHeight="1" x14ac:dyDescent="0.25">
      <c r="A61" s="2" t="s">
        <v>171</v>
      </c>
      <c r="B61" s="2" t="s">
        <v>172</v>
      </c>
      <c r="C61" s="2" t="s">
        <v>26</v>
      </c>
      <c r="D61" s="6" t="s">
        <v>173</v>
      </c>
      <c r="E61" s="2" t="s">
        <v>174</v>
      </c>
    </row>
    <row r="62" spans="1:5" ht="18" customHeight="1" x14ac:dyDescent="0.25">
      <c r="A62" s="22" t="s">
        <v>175</v>
      </c>
      <c r="B62" s="20"/>
      <c r="C62" s="20"/>
      <c r="D62" s="20"/>
      <c r="E62" s="20"/>
    </row>
    <row r="63" spans="1:5" ht="20" customHeight="1" x14ac:dyDescent="0.25">
      <c r="A63" s="2" t="s">
        <v>176</v>
      </c>
      <c r="B63" s="2" t="s">
        <v>177</v>
      </c>
      <c r="C63" s="2" t="s">
        <v>36</v>
      </c>
      <c r="D63" s="6" t="s">
        <v>27</v>
      </c>
      <c r="E63" s="2" t="s">
        <v>178</v>
      </c>
    </row>
    <row r="64" spans="1:5" ht="20" customHeight="1" x14ac:dyDescent="0.25">
      <c r="A64" s="4" t="s">
        <v>179</v>
      </c>
      <c r="B64" s="4" t="s">
        <v>180</v>
      </c>
      <c r="C64" s="4" t="s">
        <v>36</v>
      </c>
      <c r="D64" s="5" t="s">
        <v>27</v>
      </c>
      <c r="E64" s="4"/>
    </row>
    <row r="65" spans="1:5" ht="20" customHeight="1" x14ac:dyDescent="0.25">
      <c r="A65" s="2" t="s">
        <v>181</v>
      </c>
      <c r="B65" s="2" t="s">
        <v>182</v>
      </c>
      <c r="C65" s="2" t="s">
        <v>36</v>
      </c>
      <c r="D65" s="6" t="s">
        <v>27</v>
      </c>
      <c r="E65" s="2"/>
    </row>
    <row r="66" spans="1:5" ht="20" customHeight="1" x14ac:dyDescent="0.25">
      <c r="A66" s="4" t="s">
        <v>183</v>
      </c>
      <c r="B66" s="4" t="s">
        <v>184</v>
      </c>
      <c r="C66" s="4" t="s">
        <v>36</v>
      </c>
      <c r="D66" s="5" t="s">
        <v>27</v>
      </c>
      <c r="E66" s="4"/>
    </row>
    <row r="67" spans="1:5" ht="20" customHeight="1" x14ac:dyDescent="0.25">
      <c r="A67" s="2" t="s">
        <v>185</v>
      </c>
      <c r="B67" s="2" t="s">
        <v>186</v>
      </c>
      <c r="C67" s="2" t="s">
        <v>36</v>
      </c>
      <c r="D67" s="6" t="s">
        <v>173</v>
      </c>
      <c r="E67" s="2" t="s">
        <v>187</v>
      </c>
    </row>
    <row r="68" spans="1:5" ht="20" customHeight="1" x14ac:dyDescent="0.25">
      <c r="A68" s="4" t="s">
        <v>188</v>
      </c>
      <c r="B68" s="4" t="s">
        <v>189</v>
      </c>
      <c r="C68" s="4" t="s">
        <v>36</v>
      </c>
      <c r="D68" s="5" t="s">
        <v>173</v>
      </c>
      <c r="E68" s="4" t="s">
        <v>190</v>
      </c>
    </row>
    <row r="69" spans="1:5" ht="20" customHeight="1" x14ac:dyDescent="0.25">
      <c r="A69" s="2" t="s">
        <v>191</v>
      </c>
      <c r="B69" s="2" t="s">
        <v>192</v>
      </c>
      <c r="C69" s="2" t="s">
        <v>36</v>
      </c>
      <c r="D69" s="6" t="s">
        <v>173</v>
      </c>
      <c r="E69" s="2" t="s">
        <v>193</v>
      </c>
    </row>
    <row r="70" spans="1:5" ht="20" customHeight="1" x14ac:dyDescent="0.25">
      <c r="A70" s="4" t="s">
        <v>194</v>
      </c>
      <c r="B70" s="4" t="s">
        <v>195</v>
      </c>
      <c r="C70" s="4" t="s">
        <v>36</v>
      </c>
      <c r="D70" s="5" t="s">
        <v>27</v>
      </c>
      <c r="E70" s="4" t="s">
        <v>196</v>
      </c>
    </row>
    <row r="71" spans="1:5" ht="20" customHeight="1" x14ac:dyDescent="0.25">
      <c r="A71" s="2" t="s">
        <v>197</v>
      </c>
      <c r="B71" s="2" t="s">
        <v>198</v>
      </c>
      <c r="C71" s="2" t="s">
        <v>36</v>
      </c>
      <c r="D71" s="6" t="s">
        <v>173</v>
      </c>
      <c r="E71" s="2" t="s">
        <v>199</v>
      </c>
    </row>
    <row r="72" spans="1:5" ht="18" customHeight="1" x14ac:dyDescent="0.25">
      <c r="A72" s="22" t="s">
        <v>200</v>
      </c>
      <c r="B72" s="20"/>
      <c r="C72" s="20"/>
      <c r="D72" s="20"/>
      <c r="E72" s="20"/>
    </row>
    <row r="73" spans="1:5" ht="20" customHeight="1" x14ac:dyDescent="0.25">
      <c r="A73" s="2" t="s">
        <v>201</v>
      </c>
      <c r="B73" s="2" t="s">
        <v>202</v>
      </c>
      <c r="C73" s="2" t="s">
        <v>26</v>
      </c>
      <c r="D73" s="6" t="s">
        <v>27</v>
      </c>
      <c r="E73" s="2" t="s">
        <v>203</v>
      </c>
    </row>
    <row r="74" spans="1:5" ht="20" customHeight="1" x14ac:dyDescent="0.25">
      <c r="A74" s="4" t="s">
        <v>204</v>
      </c>
      <c r="B74" s="4" t="s">
        <v>205</v>
      </c>
      <c r="C74" s="4" t="s">
        <v>26</v>
      </c>
      <c r="D74" s="5" t="s">
        <v>27</v>
      </c>
      <c r="E74" s="4" t="s">
        <v>206</v>
      </c>
    </row>
    <row r="75" spans="1:5" ht="20" customHeight="1" x14ac:dyDescent="0.25">
      <c r="A75" s="2" t="s">
        <v>207</v>
      </c>
      <c r="B75" s="2" t="s">
        <v>208</v>
      </c>
      <c r="C75" s="2" t="s">
        <v>118</v>
      </c>
      <c r="D75" s="6" t="s">
        <v>27</v>
      </c>
      <c r="E75" s="2" t="s">
        <v>209</v>
      </c>
    </row>
    <row r="76" spans="1:5" ht="20" customHeight="1" x14ac:dyDescent="0.25">
      <c r="A76" s="4" t="s">
        <v>210</v>
      </c>
      <c r="B76" s="4" t="s">
        <v>211</v>
      </c>
      <c r="C76" s="4" t="s">
        <v>212</v>
      </c>
      <c r="D76" s="5" t="s">
        <v>27</v>
      </c>
      <c r="E76" s="4" t="s">
        <v>213</v>
      </c>
    </row>
    <row r="77" spans="1:5" ht="18" customHeight="1" x14ac:dyDescent="0.25">
      <c r="A77" s="22" t="s">
        <v>214</v>
      </c>
      <c r="B77" s="20"/>
      <c r="C77" s="20"/>
      <c r="D77" s="20"/>
      <c r="E77" s="20"/>
    </row>
    <row r="78" spans="1:5" ht="20" customHeight="1" x14ac:dyDescent="0.25">
      <c r="A78" s="4" t="s">
        <v>215</v>
      </c>
      <c r="B78" s="4" t="s">
        <v>216</v>
      </c>
      <c r="C78" s="4" t="s">
        <v>217</v>
      </c>
      <c r="D78" s="5" t="s">
        <v>27</v>
      </c>
      <c r="E78" s="4" t="s">
        <v>218</v>
      </c>
    </row>
    <row r="79" spans="1:5" ht="20" customHeight="1" x14ac:dyDescent="0.25">
      <c r="A79" s="2" t="s">
        <v>219</v>
      </c>
      <c r="B79" s="2" t="s">
        <v>220</v>
      </c>
      <c r="C79" s="2" t="s">
        <v>217</v>
      </c>
      <c r="D79" s="6" t="s">
        <v>27</v>
      </c>
      <c r="E79" s="2" t="s">
        <v>221</v>
      </c>
    </row>
    <row r="80" spans="1:5" ht="20" customHeight="1" x14ac:dyDescent="0.25">
      <c r="A80" s="4" t="s">
        <v>222</v>
      </c>
      <c r="B80" s="4" t="s">
        <v>223</v>
      </c>
      <c r="C80" s="4" t="s">
        <v>224</v>
      </c>
      <c r="D80" s="5" t="s">
        <v>27</v>
      </c>
      <c r="E80" s="4" t="s">
        <v>225</v>
      </c>
    </row>
    <row r="81" spans="1:5" ht="20" customHeight="1" x14ac:dyDescent="0.25">
      <c r="A81" s="2" t="s">
        <v>226</v>
      </c>
      <c r="B81" s="2" t="s">
        <v>227</v>
      </c>
      <c r="C81" s="2" t="s">
        <v>224</v>
      </c>
      <c r="D81" s="6" t="s">
        <v>27</v>
      </c>
      <c r="E81" s="2" t="s">
        <v>228</v>
      </c>
    </row>
    <row r="82" spans="1:5" ht="20" customHeight="1" x14ac:dyDescent="0.25">
      <c r="A82" s="4" t="s">
        <v>229</v>
      </c>
      <c r="B82" s="4" t="s">
        <v>230</v>
      </c>
      <c r="C82" s="4" t="s">
        <v>217</v>
      </c>
      <c r="D82" s="5" t="s">
        <v>27</v>
      </c>
      <c r="E82" s="4" t="s">
        <v>231</v>
      </c>
    </row>
    <row r="83" spans="1:5" ht="20" customHeight="1" x14ac:dyDescent="0.25">
      <c r="A83" s="2" t="s">
        <v>232</v>
      </c>
      <c r="B83" s="2" t="s">
        <v>233</v>
      </c>
      <c r="C83" s="2" t="s">
        <v>36</v>
      </c>
      <c r="D83" s="6" t="s">
        <v>27</v>
      </c>
      <c r="E83" s="2" t="s">
        <v>234</v>
      </c>
    </row>
    <row r="84" spans="1:5" ht="20" customHeight="1" x14ac:dyDescent="0.25">
      <c r="A84" s="4" t="s">
        <v>235</v>
      </c>
      <c r="B84" s="4" t="s">
        <v>236</v>
      </c>
      <c r="C84" s="4" t="s">
        <v>118</v>
      </c>
      <c r="D84" s="5" t="s">
        <v>27</v>
      </c>
      <c r="E84" s="4" t="s">
        <v>237</v>
      </c>
    </row>
    <row r="85" spans="1:5" ht="20" customHeight="1" x14ac:dyDescent="0.25">
      <c r="A85" s="2" t="s">
        <v>238</v>
      </c>
      <c r="B85" s="2" t="s">
        <v>239</v>
      </c>
      <c r="C85" s="2" t="s">
        <v>240</v>
      </c>
      <c r="D85" s="6" t="s">
        <v>27</v>
      </c>
      <c r="E85" s="2" t="s">
        <v>241</v>
      </c>
    </row>
    <row r="86" spans="1:5" ht="18" customHeight="1" x14ac:dyDescent="0.25">
      <c r="A86" s="21" t="s">
        <v>242</v>
      </c>
      <c r="B86" s="20"/>
      <c r="C86" s="20"/>
      <c r="D86" s="20"/>
      <c r="E86" s="20"/>
    </row>
    <row r="87" spans="1:5" ht="20" customHeight="1" x14ac:dyDescent="0.25">
      <c r="A87" s="2" t="s">
        <v>243</v>
      </c>
      <c r="B87" s="2" t="s">
        <v>244</v>
      </c>
      <c r="C87" s="2" t="s">
        <v>245</v>
      </c>
      <c r="D87" s="6" t="s">
        <v>27</v>
      </c>
      <c r="E87" s="2" t="s">
        <v>246</v>
      </c>
    </row>
    <row r="88" spans="1:5" ht="18" customHeight="1" x14ac:dyDescent="0.25">
      <c r="A88" s="25" t="s">
        <v>247</v>
      </c>
      <c r="B88" s="20"/>
      <c r="C88" s="20"/>
      <c r="D88" s="20"/>
      <c r="E88" s="20"/>
    </row>
    <row r="89" spans="1:5" ht="20" customHeight="1" x14ac:dyDescent="0.25">
      <c r="A89" s="2" t="s">
        <v>248</v>
      </c>
      <c r="B89" s="2" t="s">
        <v>249</v>
      </c>
      <c r="C89" s="2" t="s">
        <v>36</v>
      </c>
      <c r="D89" s="6" t="s">
        <v>27</v>
      </c>
      <c r="E89" s="2" t="s">
        <v>250</v>
      </c>
    </row>
  </sheetData>
  <mergeCells count="13">
    <mergeCell ref="A88:E88"/>
    <mergeCell ref="A27:E27"/>
    <mergeCell ref="A3:E3"/>
    <mergeCell ref="A86:E86"/>
    <mergeCell ref="A51:E51"/>
    <mergeCell ref="A1:E1"/>
    <mergeCell ref="A37:E37"/>
    <mergeCell ref="A31:E31"/>
    <mergeCell ref="A21:E21"/>
    <mergeCell ref="A77:E77"/>
    <mergeCell ref="A62:E62"/>
    <mergeCell ref="A72:E72"/>
    <mergeCell ref="A15:E15"/>
  </mergeCells>
  <phoneticPr fontId="1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showGridLines="0" workbookViewId="0">
      <selection sqref="A1:D1"/>
    </sheetView>
  </sheetViews>
  <sheetFormatPr defaultRowHeight="14" x14ac:dyDescent="0.25"/>
  <cols>
    <col min="1" max="1" width="18" customWidth="1"/>
    <col min="2" max="2" width="60" customWidth="1"/>
    <col min="3" max="3" width="10" customWidth="1"/>
    <col min="4" max="4" width="40" customWidth="1"/>
  </cols>
  <sheetData>
    <row r="1" spans="1:4" ht="34" customHeight="1" x14ac:dyDescent="0.25">
      <c r="A1" s="19" t="s">
        <v>251</v>
      </c>
      <c r="B1" s="20"/>
      <c r="C1" s="20"/>
      <c r="D1" s="20"/>
    </row>
    <row r="2" spans="1:4" ht="22" customHeight="1" x14ac:dyDescent="0.25">
      <c r="A2" s="3" t="s">
        <v>252</v>
      </c>
      <c r="B2" s="3" t="s">
        <v>253</v>
      </c>
      <c r="C2" s="3" t="s">
        <v>254</v>
      </c>
      <c r="D2" s="3" t="s">
        <v>255</v>
      </c>
    </row>
    <row r="3" spans="1:4" ht="22" customHeight="1" x14ac:dyDescent="0.25">
      <c r="A3" s="2" t="s">
        <v>256</v>
      </c>
      <c r="B3" s="2" t="s">
        <v>257</v>
      </c>
      <c r="C3" s="7" t="s">
        <v>258</v>
      </c>
      <c r="D3" s="2" t="s">
        <v>259</v>
      </c>
    </row>
    <row r="4" spans="1:4" ht="22" customHeight="1" x14ac:dyDescent="0.25">
      <c r="A4" s="4" t="s">
        <v>260</v>
      </c>
      <c r="B4" s="4" t="s">
        <v>261</v>
      </c>
      <c r="C4" s="7" t="s">
        <v>258</v>
      </c>
      <c r="D4" s="4" t="s">
        <v>262</v>
      </c>
    </row>
    <row r="5" spans="1:4" ht="22" customHeight="1" x14ac:dyDescent="0.25">
      <c r="A5" s="2" t="s">
        <v>263</v>
      </c>
      <c r="B5" s="2" t="s">
        <v>264</v>
      </c>
      <c r="C5" s="7" t="s">
        <v>258</v>
      </c>
      <c r="D5" s="2"/>
    </row>
    <row r="6" spans="1:4" ht="22" customHeight="1" x14ac:dyDescent="0.25">
      <c r="A6" s="4" t="s">
        <v>265</v>
      </c>
      <c r="B6" s="4" t="s">
        <v>266</v>
      </c>
      <c r="C6" s="7" t="s">
        <v>258</v>
      </c>
      <c r="D6" s="4"/>
    </row>
    <row r="7" spans="1:4" ht="22" customHeight="1" x14ac:dyDescent="0.25">
      <c r="A7" s="2" t="s">
        <v>267</v>
      </c>
      <c r="B7" s="2" t="s">
        <v>268</v>
      </c>
      <c r="C7" s="7" t="s">
        <v>258</v>
      </c>
      <c r="D7" s="2" t="s">
        <v>269</v>
      </c>
    </row>
    <row r="8" spans="1:4" ht="22" customHeight="1" x14ac:dyDescent="0.25">
      <c r="A8" s="4" t="s">
        <v>270</v>
      </c>
      <c r="B8" s="4" t="s">
        <v>271</v>
      </c>
      <c r="C8" s="7" t="s">
        <v>258</v>
      </c>
      <c r="D8" s="4"/>
    </row>
    <row r="9" spans="1:4" ht="22" customHeight="1" x14ac:dyDescent="0.25">
      <c r="A9" s="2" t="s">
        <v>272</v>
      </c>
      <c r="B9" s="2" t="s">
        <v>273</v>
      </c>
      <c r="C9" s="7" t="s">
        <v>258</v>
      </c>
      <c r="D9" s="2"/>
    </row>
    <row r="10" spans="1:4" ht="22" customHeight="1" x14ac:dyDescent="0.25">
      <c r="A10" s="4" t="s">
        <v>274</v>
      </c>
      <c r="B10" s="4" t="s">
        <v>275</v>
      </c>
      <c r="C10" s="7" t="s">
        <v>258</v>
      </c>
      <c r="D10" s="4"/>
    </row>
    <row r="13" spans="1:4" ht="20" customHeight="1" x14ac:dyDescent="0.3">
      <c r="A13" s="8" t="s">
        <v>276</v>
      </c>
    </row>
    <row r="14" spans="1:4" ht="22" customHeight="1" x14ac:dyDescent="0.25">
      <c r="A14" s="3" t="s">
        <v>277</v>
      </c>
      <c r="B14" s="3" t="s">
        <v>278</v>
      </c>
      <c r="C14" s="3" t="s">
        <v>254</v>
      </c>
      <c r="D14" s="3" t="s">
        <v>255</v>
      </c>
    </row>
    <row r="15" spans="1:4" ht="22" customHeight="1" x14ac:dyDescent="0.25">
      <c r="A15" s="2" t="s">
        <v>279</v>
      </c>
      <c r="B15" s="2" t="s">
        <v>280</v>
      </c>
      <c r="C15" s="9" t="s">
        <v>281</v>
      </c>
      <c r="D15" s="2" t="s">
        <v>282</v>
      </c>
    </row>
    <row r="16" spans="1:4" ht="22" customHeight="1" x14ac:dyDescent="0.25">
      <c r="A16" s="4" t="s">
        <v>283</v>
      </c>
      <c r="B16" s="4" t="s">
        <v>284</v>
      </c>
      <c r="C16" s="9" t="s">
        <v>281</v>
      </c>
      <c r="D16" s="4" t="s">
        <v>285</v>
      </c>
    </row>
    <row r="17" spans="1:4" ht="22" customHeight="1" x14ac:dyDescent="0.25">
      <c r="A17" s="2" t="s">
        <v>286</v>
      </c>
      <c r="B17" s="2" t="s">
        <v>287</v>
      </c>
      <c r="C17" s="9" t="s">
        <v>281</v>
      </c>
      <c r="D17" s="2" t="s">
        <v>288</v>
      </c>
    </row>
    <row r="18" spans="1:4" ht="22" customHeight="1" x14ac:dyDescent="0.25">
      <c r="A18" s="4" t="s">
        <v>289</v>
      </c>
      <c r="B18" s="4" t="s">
        <v>290</v>
      </c>
      <c r="C18" s="10" t="s">
        <v>291</v>
      </c>
      <c r="D18" s="4" t="s">
        <v>292</v>
      </c>
    </row>
    <row r="19" spans="1:4" ht="22" customHeight="1" x14ac:dyDescent="0.25">
      <c r="A19" s="2" t="s">
        <v>293</v>
      </c>
      <c r="B19" s="2" t="s">
        <v>294</v>
      </c>
      <c r="C19" s="7" t="s">
        <v>258</v>
      </c>
      <c r="D19" s="2" t="s">
        <v>295</v>
      </c>
    </row>
  </sheetData>
  <mergeCells count="1">
    <mergeCell ref="A1:D1"/>
  </mergeCells>
  <phoneticPr fontId="1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showGridLines="0" workbookViewId="0">
      <selection sqref="A1:H1"/>
    </sheetView>
  </sheetViews>
  <sheetFormatPr defaultRowHeight="14" x14ac:dyDescent="0.25"/>
  <cols>
    <col min="1" max="2" width="26" customWidth="1"/>
    <col min="3" max="4" width="10" customWidth="1"/>
    <col min="5" max="5" width="20" customWidth="1"/>
    <col min="6" max="6" width="10" customWidth="1"/>
    <col min="7" max="7" width="14" customWidth="1"/>
    <col min="8" max="8" width="58" customWidth="1"/>
  </cols>
  <sheetData>
    <row r="1" spans="1:8" ht="34" customHeight="1" x14ac:dyDescent="0.25">
      <c r="A1" s="19" t="s">
        <v>296</v>
      </c>
      <c r="B1" s="20"/>
      <c r="C1" s="20"/>
      <c r="D1" s="20"/>
      <c r="E1" s="20"/>
      <c r="F1" s="20"/>
      <c r="G1" s="20"/>
      <c r="H1" s="20"/>
    </row>
    <row r="2" spans="1:8" ht="20" customHeight="1" x14ac:dyDescent="0.25">
      <c r="A2" s="28" t="s">
        <v>297</v>
      </c>
      <c r="B2" s="20"/>
      <c r="C2" s="20"/>
      <c r="D2" s="20"/>
      <c r="E2" s="20"/>
      <c r="F2" s="20"/>
      <c r="G2" s="20"/>
      <c r="H2" s="20"/>
    </row>
    <row r="3" spans="1:8" ht="22" customHeight="1" x14ac:dyDescent="0.25">
      <c r="A3" s="3" t="s">
        <v>298</v>
      </c>
      <c r="B3" s="3" t="s">
        <v>18</v>
      </c>
      <c r="C3" s="3" t="s">
        <v>299</v>
      </c>
      <c r="D3" s="3" t="s">
        <v>300</v>
      </c>
      <c r="E3" s="3" t="s">
        <v>301</v>
      </c>
      <c r="F3" s="3" t="s">
        <v>254</v>
      </c>
      <c r="G3" s="3" t="s">
        <v>302</v>
      </c>
      <c r="H3" s="3" t="s">
        <v>303</v>
      </c>
    </row>
    <row r="4" spans="1:8" ht="22" customHeight="1" x14ac:dyDescent="0.25">
      <c r="A4" s="4" t="s">
        <v>304</v>
      </c>
      <c r="B4" s="11" t="s">
        <v>29</v>
      </c>
      <c r="C4" s="4" t="s">
        <v>27</v>
      </c>
      <c r="D4" s="4" t="s">
        <v>36</v>
      </c>
      <c r="E4" s="4" t="s">
        <v>305</v>
      </c>
      <c r="F4" s="7" t="s">
        <v>258</v>
      </c>
      <c r="G4" s="12" t="s">
        <v>306</v>
      </c>
      <c r="H4" s="4" t="s">
        <v>307</v>
      </c>
    </row>
    <row r="5" spans="1:8" ht="22" customHeight="1" x14ac:dyDescent="0.25">
      <c r="A5" s="2" t="s">
        <v>308</v>
      </c>
      <c r="B5" s="13" t="s">
        <v>309</v>
      </c>
      <c r="C5" s="2" t="s">
        <v>68</v>
      </c>
      <c r="D5" s="2" t="s">
        <v>310</v>
      </c>
      <c r="E5" s="2" t="s">
        <v>36</v>
      </c>
      <c r="F5" s="7" t="s">
        <v>258</v>
      </c>
      <c r="G5" s="6" t="s">
        <v>311</v>
      </c>
      <c r="H5" s="2" t="s">
        <v>312</v>
      </c>
    </row>
    <row r="6" spans="1:8" ht="22" customHeight="1" x14ac:dyDescent="0.25">
      <c r="A6" s="4" t="s">
        <v>313</v>
      </c>
      <c r="B6" s="11" t="s">
        <v>74</v>
      </c>
      <c r="C6" s="4" t="s">
        <v>27</v>
      </c>
      <c r="D6" s="4" t="s">
        <v>36</v>
      </c>
      <c r="E6" s="4" t="s">
        <v>36</v>
      </c>
      <c r="F6" s="7" t="s">
        <v>258</v>
      </c>
      <c r="G6" s="6" t="s">
        <v>311</v>
      </c>
      <c r="H6" s="4" t="s">
        <v>314</v>
      </c>
    </row>
    <row r="7" spans="1:8" ht="22" customHeight="1" x14ac:dyDescent="0.25">
      <c r="A7" s="2" t="s">
        <v>315</v>
      </c>
      <c r="B7" s="13" t="s">
        <v>81</v>
      </c>
      <c r="C7" s="2" t="s">
        <v>27</v>
      </c>
      <c r="D7" s="2" t="s">
        <v>36</v>
      </c>
      <c r="E7" s="2" t="s">
        <v>36</v>
      </c>
      <c r="F7" s="7" t="s">
        <v>258</v>
      </c>
      <c r="G7" s="6" t="s">
        <v>311</v>
      </c>
      <c r="H7" s="2" t="s">
        <v>316</v>
      </c>
    </row>
    <row r="8" spans="1:8" ht="22" customHeight="1" x14ac:dyDescent="0.25">
      <c r="A8" s="4" t="s">
        <v>317</v>
      </c>
      <c r="B8" s="11" t="s">
        <v>77</v>
      </c>
      <c r="C8" s="4" t="s">
        <v>27</v>
      </c>
      <c r="D8" s="4" t="s">
        <v>36</v>
      </c>
      <c r="E8" s="4" t="s">
        <v>36</v>
      </c>
      <c r="F8" s="7" t="s">
        <v>258</v>
      </c>
      <c r="G8" s="6" t="s">
        <v>311</v>
      </c>
      <c r="H8" s="4" t="s">
        <v>318</v>
      </c>
    </row>
    <row r="9" spans="1:8" ht="22" customHeight="1" x14ac:dyDescent="0.25">
      <c r="A9" s="2" t="s">
        <v>85</v>
      </c>
      <c r="B9" s="13" t="s">
        <v>85</v>
      </c>
      <c r="C9" s="2" t="s">
        <v>27</v>
      </c>
      <c r="D9" s="2" t="s">
        <v>36</v>
      </c>
      <c r="E9" s="2" t="s">
        <v>36</v>
      </c>
      <c r="F9" s="7" t="s">
        <v>258</v>
      </c>
      <c r="G9" s="6" t="s">
        <v>311</v>
      </c>
      <c r="H9" s="2" t="s">
        <v>319</v>
      </c>
    </row>
    <row r="10" spans="1:8" ht="22" customHeight="1" x14ac:dyDescent="0.25">
      <c r="A10" s="4" t="s">
        <v>320</v>
      </c>
      <c r="B10" s="11" t="s">
        <v>85</v>
      </c>
      <c r="C10" s="4" t="s">
        <v>27</v>
      </c>
      <c r="D10" s="4" t="s">
        <v>36</v>
      </c>
      <c r="E10" s="4" t="s">
        <v>36</v>
      </c>
      <c r="F10" s="7" t="s">
        <v>258</v>
      </c>
      <c r="G10" s="6" t="s">
        <v>311</v>
      </c>
      <c r="H10" s="4" t="s">
        <v>321</v>
      </c>
    </row>
    <row r="11" spans="1:8" ht="22" customHeight="1" x14ac:dyDescent="0.25">
      <c r="A11" s="2" t="s">
        <v>322</v>
      </c>
      <c r="B11" s="13" t="s">
        <v>29</v>
      </c>
      <c r="C11" s="2" t="s">
        <v>27</v>
      </c>
      <c r="D11" s="2" t="s">
        <v>36</v>
      </c>
      <c r="E11" s="2" t="s">
        <v>323</v>
      </c>
      <c r="F11" s="7" t="s">
        <v>258</v>
      </c>
      <c r="G11" s="14" t="s">
        <v>324</v>
      </c>
      <c r="H11" s="2" t="s">
        <v>325</v>
      </c>
    </row>
    <row r="12" spans="1:8" ht="22" customHeight="1" x14ac:dyDescent="0.25">
      <c r="A12" s="4" t="s">
        <v>326</v>
      </c>
      <c r="B12" s="11" t="s">
        <v>56</v>
      </c>
      <c r="C12" s="4" t="s">
        <v>27</v>
      </c>
      <c r="D12" s="4" t="s">
        <v>36</v>
      </c>
      <c r="E12" s="4" t="s">
        <v>36</v>
      </c>
      <c r="F12" s="7" t="s">
        <v>258</v>
      </c>
      <c r="G12" s="6" t="s">
        <v>311</v>
      </c>
      <c r="H12" s="4" t="s">
        <v>327</v>
      </c>
    </row>
    <row r="13" spans="1:8" ht="22" customHeight="1" x14ac:dyDescent="0.25">
      <c r="A13" s="2" t="s">
        <v>328</v>
      </c>
      <c r="B13" s="13" t="s">
        <v>51</v>
      </c>
      <c r="C13" s="2" t="s">
        <v>27</v>
      </c>
      <c r="D13" s="2" t="s">
        <v>36</v>
      </c>
      <c r="E13" s="2" t="s">
        <v>36</v>
      </c>
      <c r="F13" s="7" t="s">
        <v>258</v>
      </c>
      <c r="G13" s="14" t="s">
        <v>324</v>
      </c>
      <c r="H13" s="2" t="s">
        <v>329</v>
      </c>
    </row>
    <row r="14" spans="1:8" ht="22" customHeight="1" x14ac:dyDescent="0.25">
      <c r="A14" s="4" t="s">
        <v>330</v>
      </c>
      <c r="B14" s="11" t="s">
        <v>92</v>
      </c>
      <c r="C14" s="4" t="s">
        <v>68</v>
      </c>
      <c r="D14" s="4" t="s">
        <v>36</v>
      </c>
      <c r="E14" s="4" t="s">
        <v>36</v>
      </c>
      <c r="F14" s="7" t="s">
        <v>258</v>
      </c>
      <c r="G14" s="6" t="s">
        <v>311</v>
      </c>
      <c r="H14" s="4" t="s">
        <v>331</v>
      </c>
    </row>
    <row r="15" spans="1:8" ht="22" customHeight="1" x14ac:dyDescent="0.25">
      <c r="A15" s="2" t="s">
        <v>332</v>
      </c>
      <c r="B15" s="13" t="s">
        <v>96</v>
      </c>
      <c r="C15" s="2" t="s">
        <v>27</v>
      </c>
      <c r="D15" s="2" t="s">
        <v>36</v>
      </c>
      <c r="E15" s="2" t="s">
        <v>36</v>
      </c>
      <c r="F15" s="7" t="s">
        <v>258</v>
      </c>
      <c r="G15" s="6" t="s">
        <v>311</v>
      </c>
      <c r="H15" s="2" t="s">
        <v>333</v>
      </c>
    </row>
    <row r="16" spans="1:8" ht="22" customHeight="1" x14ac:dyDescent="0.25">
      <c r="A16" s="4" t="s">
        <v>334</v>
      </c>
      <c r="B16" s="11" t="s">
        <v>34</v>
      </c>
      <c r="C16" s="4" t="s">
        <v>27</v>
      </c>
      <c r="D16" s="4" t="s">
        <v>36</v>
      </c>
      <c r="E16" s="4" t="s">
        <v>36</v>
      </c>
      <c r="F16" s="9" t="s">
        <v>281</v>
      </c>
      <c r="G16" s="6" t="s">
        <v>311</v>
      </c>
      <c r="H16" s="4" t="s">
        <v>335</v>
      </c>
    </row>
    <row r="17" spans="1:8" ht="22" customHeight="1" x14ac:dyDescent="0.25">
      <c r="A17" s="2" t="s">
        <v>336</v>
      </c>
      <c r="B17" s="13" t="s">
        <v>337</v>
      </c>
      <c r="C17" s="2" t="s">
        <v>68</v>
      </c>
      <c r="D17" s="2" t="s">
        <v>310</v>
      </c>
      <c r="E17" s="2" t="s">
        <v>36</v>
      </c>
      <c r="F17" s="9" t="s">
        <v>281</v>
      </c>
      <c r="G17" s="6" t="s">
        <v>311</v>
      </c>
      <c r="H17" s="2" t="s">
        <v>338</v>
      </c>
    </row>
    <row r="18" spans="1:8" ht="22" customHeight="1" x14ac:dyDescent="0.25">
      <c r="A18" s="4" t="s">
        <v>339</v>
      </c>
      <c r="B18" s="11" t="s">
        <v>111</v>
      </c>
      <c r="C18" s="4" t="s">
        <v>27</v>
      </c>
      <c r="D18" s="4" t="s">
        <v>36</v>
      </c>
      <c r="E18" s="4" t="s">
        <v>36</v>
      </c>
      <c r="F18" s="9" t="s">
        <v>281</v>
      </c>
      <c r="G18" s="6" t="s">
        <v>311</v>
      </c>
      <c r="H18" s="4" t="s">
        <v>340</v>
      </c>
    </row>
    <row r="19" spans="1:8" ht="22" customHeight="1" x14ac:dyDescent="0.25">
      <c r="A19" s="2" t="s">
        <v>341</v>
      </c>
      <c r="B19" s="2" t="s">
        <v>36</v>
      </c>
      <c r="C19" s="2" t="s">
        <v>27</v>
      </c>
      <c r="D19" s="2" t="s">
        <v>36</v>
      </c>
      <c r="E19" s="2" t="s">
        <v>36</v>
      </c>
      <c r="F19" s="7" t="s">
        <v>258</v>
      </c>
      <c r="G19" s="6" t="s">
        <v>311</v>
      </c>
      <c r="H19" s="2" t="s">
        <v>342</v>
      </c>
    </row>
  </sheetData>
  <mergeCells count="2">
    <mergeCell ref="A2:H2"/>
    <mergeCell ref="A1:H1"/>
  </mergeCells>
  <phoneticPr fontId="19" type="noConversion"/>
  <hyperlinks>
    <hyperlink ref="B4" location="'1_标准物理量'!A5" display="pressure_kinematic" xr:uid="{00000000-0004-0000-0300-000000000000}"/>
    <hyperlink ref="B5" location="'1_标准物理量'!A9" display="velocity_x/y/z" xr:uid="{00000000-0004-0000-0300-000001000000}"/>
    <hyperlink ref="B6" location="'1_标准物理量'!A22" display="tke" xr:uid="{00000000-0004-0000-0300-000002000000}"/>
    <hyperlink ref="B7" location="'1_标准物理量'!A24" display="sdr" xr:uid="{00000000-0004-0000-0300-000003000000}"/>
    <hyperlink ref="B8" location="'1_标准物理量'!A23" display="tdr" xr:uid="{00000000-0004-0000-0300-000004000000}"/>
    <hyperlink ref="B9" location="'1_标准物理量'!A25" display="nut" xr:uid="{00000000-0004-0000-0300-000005000000}"/>
    <hyperlink ref="B10" location="'1_标准物理量'!A25" display="nut" xr:uid="{00000000-0004-0000-0300-000006000000}"/>
    <hyperlink ref="B11" location="'1_标准物理量'!A5" display="pressure_kinematic" xr:uid="{00000000-0004-0000-0300-000007000000}"/>
    <hyperlink ref="B12" location="'1_标准物理量'!A16" display="temperature" xr:uid="{00000000-0004-0000-0300-000008000000}"/>
    <hyperlink ref="B13" location="'1_标准物理量'!A14" display="density" xr:uid="{00000000-0004-0000-0300-000009000000}"/>
    <hyperlink ref="B14" location="'1_标准物理量'!A28" display="wall_shear_stress" xr:uid="{00000000-0004-0000-0300-00000A000000}"/>
    <hyperlink ref="B15" location="'1_标准物理量'!A29" display="y_plus" xr:uid="{00000000-0004-0000-0300-00000B000000}"/>
    <hyperlink ref="B16" location="'1_标准物理量'!A7" display="pressure_coefficient" xr:uid="{00000000-0004-0000-0300-00000C000000}"/>
    <hyperlink ref="B17" location="'1_标准物理量'!A32" display="vorticity_x/y/z" xr:uid="{00000000-0004-0000-0300-00000D000000}"/>
    <hyperlink ref="B18" location="'1_标准物理量'!A36" display="q_criterion" xr:uid="{00000000-0004-0000-0300-00000E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showGridLines="0" workbookViewId="0"/>
  </sheetViews>
  <sheetFormatPr defaultRowHeight="14" x14ac:dyDescent="0.25"/>
  <cols>
    <col min="1" max="2" width="26" customWidth="1"/>
    <col min="3" max="4" width="10" customWidth="1"/>
    <col min="5" max="5" width="20" customWidth="1"/>
    <col min="6" max="6" width="10" customWidth="1"/>
    <col min="7" max="7" width="14" customWidth="1"/>
    <col min="8" max="8" width="58" customWidth="1"/>
  </cols>
  <sheetData>
    <row r="1" spans="1:8" ht="34" customHeight="1" x14ac:dyDescent="0.25">
      <c r="A1" s="19" t="s">
        <v>343</v>
      </c>
      <c r="B1" s="20"/>
      <c r="C1" s="20"/>
      <c r="D1" s="20"/>
      <c r="E1" s="20"/>
      <c r="F1" s="20"/>
      <c r="G1" s="20"/>
      <c r="H1" s="20"/>
    </row>
    <row r="2" spans="1:8" ht="20" customHeight="1" x14ac:dyDescent="0.25">
      <c r="A2" s="28" t="s">
        <v>344</v>
      </c>
      <c r="B2" s="20"/>
      <c r="C2" s="20"/>
      <c r="D2" s="20"/>
      <c r="E2" s="20"/>
      <c r="F2" s="20"/>
      <c r="G2" s="20"/>
      <c r="H2" s="20"/>
    </row>
    <row r="3" spans="1:8" ht="22" customHeight="1" x14ac:dyDescent="0.25">
      <c r="A3" s="3" t="s">
        <v>298</v>
      </c>
      <c r="B3" s="3" t="s">
        <v>18</v>
      </c>
      <c r="C3" s="3" t="s">
        <v>299</v>
      </c>
      <c r="D3" s="3" t="s">
        <v>300</v>
      </c>
      <c r="E3" s="3" t="s">
        <v>301</v>
      </c>
      <c r="F3" s="3" t="s">
        <v>254</v>
      </c>
      <c r="G3" s="3" t="s">
        <v>302</v>
      </c>
      <c r="H3" s="3" t="s">
        <v>303</v>
      </c>
    </row>
    <row r="4" spans="1:8" ht="22" customHeight="1" x14ac:dyDescent="0.25">
      <c r="A4" s="4" t="s">
        <v>304</v>
      </c>
      <c r="B4" s="11" t="s">
        <v>24</v>
      </c>
      <c r="C4" s="4" t="s">
        <v>27</v>
      </c>
      <c r="D4" s="4" t="s">
        <v>36</v>
      </c>
      <c r="E4" s="4" t="s">
        <v>36</v>
      </c>
      <c r="F4" s="7" t="s">
        <v>258</v>
      </c>
      <c r="G4" s="12" t="s">
        <v>306</v>
      </c>
      <c r="H4" s="4" t="s">
        <v>345</v>
      </c>
    </row>
    <row r="5" spans="1:8" ht="22" customHeight="1" x14ac:dyDescent="0.25">
      <c r="A5" s="2" t="s">
        <v>308</v>
      </c>
      <c r="B5" s="13" t="s">
        <v>309</v>
      </c>
      <c r="C5" s="2" t="s">
        <v>68</v>
      </c>
      <c r="D5" s="2" t="s">
        <v>310</v>
      </c>
      <c r="E5" s="2" t="s">
        <v>36</v>
      </c>
      <c r="F5" s="7" t="s">
        <v>258</v>
      </c>
      <c r="G5" s="6" t="s">
        <v>311</v>
      </c>
      <c r="H5" s="2" t="s">
        <v>346</v>
      </c>
    </row>
    <row r="6" spans="1:8" ht="22" customHeight="1" x14ac:dyDescent="0.25">
      <c r="A6" s="4" t="s">
        <v>326</v>
      </c>
      <c r="B6" s="11" t="s">
        <v>56</v>
      </c>
      <c r="C6" s="4" t="s">
        <v>27</v>
      </c>
      <c r="D6" s="4" t="s">
        <v>36</v>
      </c>
      <c r="E6" s="4" t="s">
        <v>36</v>
      </c>
      <c r="F6" s="7" t="s">
        <v>258</v>
      </c>
      <c r="G6" s="6" t="s">
        <v>311</v>
      </c>
      <c r="H6" s="4" t="s">
        <v>347</v>
      </c>
    </row>
    <row r="7" spans="1:8" ht="22" customHeight="1" x14ac:dyDescent="0.25">
      <c r="A7" s="2" t="s">
        <v>328</v>
      </c>
      <c r="B7" s="13" t="s">
        <v>51</v>
      </c>
      <c r="C7" s="2" t="s">
        <v>27</v>
      </c>
      <c r="D7" s="2" t="s">
        <v>36</v>
      </c>
      <c r="E7" s="2" t="s">
        <v>36</v>
      </c>
      <c r="F7" s="7" t="s">
        <v>258</v>
      </c>
      <c r="G7" s="6" t="s">
        <v>311</v>
      </c>
      <c r="H7" s="2" t="s">
        <v>348</v>
      </c>
    </row>
    <row r="8" spans="1:8" ht="22" customHeight="1" x14ac:dyDescent="0.25">
      <c r="A8" s="4" t="s">
        <v>349</v>
      </c>
      <c r="B8" s="11" t="s">
        <v>63</v>
      </c>
      <c r="C8" s="4" t="s">
        <v>27</v>
      </c>
      <c r="D8" s="4" t="s">
        <v>36</v>
      </c>
      <c r="E8" s="4" t="s">
        <v>36</v>
      </c>
      <c r="F8" s="7" t="s">
        <v>258</v>
      </c>
      <c r="G8" s="6" t="s">
        <v>311</v>
      </c>
      <c r="H8" s="4" t="s">
        <v>350</v>
      </c>
    </row>
    <row r="9" spans="1:8" ht="22" customHeight="1" x14ac:dyDescent="0.25">
      <c r="A9" s="2" t="s">
        <v>351</v>
      </c>
      <c r="B9" s="13" t="s">
        <v>60</v>
      </c>
      <c r="C9" s="2" t="s">
        <v>27</v>
      </c>
      <c r="D9" s="2" t="s">
        <v>36</v>
      </c>
      <c r="E9" s="2" t="s">
        <v>36</v>
      </c>
      <c r="F9" s="9" t="s">
        <v>281</v>
      </c>
      <c r="G9" s="6" t="s">
        <v>311</v>
      </c>
      <c r="H9" s="2" t="s">
        <v>352</v>
      </c>
    </row>
    <row r="10" spans="1:8" ht="22" customHeight="1" x14ac:dyDescent="0.25">
      <c r="A10" s="4" t="s">
        <v>313</v>
      </c>
      <c r="B10" s="11" t="s">
        <v>74</v>
      </c>
      <c r="C10" s="4" t="s">
        <v>27</v>
      </c>
      <c r="D10" s="4" t="s">
        <v>36</v>
      </c>
      <c r="E10" s="4" t="s">
        <v>36</v>
      </c>
      <c r="F10" s="7" t="s">
        <v>258</v>
      </c>
      <c r="G10" s="6" t="s">
        <v>311</v>
      </c>
      <c r="H10" s="4" t="s">
        <v>346</v>
      </c>
    </row>
    <row r="11" spans="1:8" ht="22" customHeight="1" x14ac:dyDescent="0.25">
      <c r="A11" s="2" t="s">
        <v>315</v>
      </c>
      <c r="B11" s="13" t="s">
        <v>81</v>
      </c>
      <c r="C11" s="2" t="s">
        <v>27</v>
      </c>
      <c r="D11" s="2" t="s">
        <v>36</v>
      </c>
      <c r="E11" s="2" t="s">
        <v>36</v>
      </c>
      <c r="F11" s="7" t="s">
        <v>258</v>
      </c>
      <c r="G11" s="6" t="s">
        <v>311</v>
      </c>
      <c r="H11" s="2" t="s">
        <v>346</v>
      </c>
    </row>
    <row r="12" spans="1:8" ht="22" customHeight="1" x14ac:dyDescent="0.25">
      <c r="A12" s="4" t="s">
        <v>317</v>
      </c>
      <c r="B12" s="11" t="s">
        <v>77</v>
      </c>
      <c r="C12" s="4" t="s">
        <v>27</v>
      </c>
      <c r="D12" s="4" t="s">
        <v>36</v>
      </c>
      <c r="E12" s="4" t="s">
        <v>36</v>
      </c>
      <c r="F12" s="7" t="s">
        <v>258</v>
      </c>
      <c r="G12" s="6" t="s">
        <v>311</v>
      </c>
      <c r="H12" s="4" t="s">
        <v>346</v>
      </c>
    </row>
    <row r="13" spans="1:8" ht="22" customHeight="1" x14ac:dyDescent="0.25">
      <c r="A13" s="2" t="s">
        <v>353</v>
      </c>
      <c r="B13" s="13" t="s">
        <v>85</v>
      </c>
      <c r="C13" s="2" t="s">
        <v>27</v>
      </c>
      <c r="D13" s="2" t="s">
        <v>36</v>
      </c>
      <c r="E13" s="2" t="s">
        <v>354</v>
      </c>
      <c r="F13" s="7" t="s">
        <v>258</v>
      </c>
      <c r="G13" s="14" t="s">
        <v>324</v>
      </c>
      <c r="H13" s="2" t="s">
        <v>355</v>
      </c>
    </row>
    <row r="14" spans="1:8" ht="22" customHeight="1" x14ac:dyDescent="0.25">
      <c r="A14" s="4" t="s">
        <v>356</v>
      </c>
      <c r="B14" s="4" t="s">
        <v>36</v>
      </c>
      <c r="C14" s="4" t="s">
        <v>27</v>
      </c>
      <c r="D14" s="4" t="s">
        <v>36</v>
      </c>
      <c r="E14" s="4" t="s">
        <v>36</v>
      </c>
      <c r="F14" s="7" t="s">
        <v>258</v>
      </c>
      <c r="G14" s="6" t="s">
        <v>311</v>
      </c>
      <c r="H14" s="4" t="s">
        <v>357</v>
      </c>
    </row>
    <row r="15" spans="1:8" ht="22" customHeight="1" x14ac:dyDescent="0.25">
      <c r="A15" s="2" t="s">
        <v>358</v>
      </c>
      <c r="B15" s="13" t="s">
        <v>49</v>
      </c>
      <c r="C15" s="2" t="s">
        <v>27</v>
      </c>
      <c r="D15" s="2" t="s">
        <v>36</v>
      </c>
      <c r="E15" s="2" t="s">
        <v>36</v>
      </c>
      <c r="F15" s="9" t="s">
        <v>281</v>
      </c>
      <c r="G15" s="6" t="s">
        <v>311</v>
      </c>
      <c r="H15" s="2" t="s">
        <v>359</v>
      </c>
    </row>
  </sheetData>
  <mergeCells count="2">
    <mergeCell ref="A2:H2"/>
    <mergeCell ref="A1:H1"/>
  </mergeCells>
  <phoneticPr fontId="19" type="noConversion"/>
  <hyperlinks>
    <hyperlink ref="B4" location="'1_标准物理量'!A4" display="pressure" xr:uid="{00000000-0004-0000-0400-000000000000}"/>
    <hyperlink ref="B5" location="'1_标准物理量'!A9" display="velocity_x/y/z" xr:uid="{00000000-0004-0000-0400-000001000000}"/>
    <hyperlink ref="B6" location="'1_标准物理量'!A16" display="temperature" xr:uid="{00000000-0004-0000-0400-000002000000}"/>
    <hyperlink ref="B7" location="'1_标准物理量'!A14" display="density" xr:uid="{00000000-0004-0000-0400-000003000000}"/>
    <hyperlink ref="B8" location="'1_标准物理量'!A18" display="internal_energy" xr:uid="{00000000-0004-0000-0400-000004000000}"/>
    <hyperlink ref="B9" location="'1_标准物理量'!A17" display="total_energy" xr:uid="{00000000-0004-0000-0400-000005000000}"/>
    <hyperlink ref="B10" location="'1_标准物理量'!A22" display="tke" xr:uid="{00000000-0004-0000-0400-000006000000}"/>
    <hyperlink ref="B11" location="'1_标准物理量'!A24" display="sdr" xr:uid="{00000000-0004-0000-0400-000007000000}"/>
    <hyperlink ref="B12" location="'1_标准物理量'!A23" display="tdr" xr:uid="{00000000-0004-0000-0400-000008000000}"/>
    <hyperlink ref="B13" location="'1_标准物理量'!A25" display="nut" xr:uid="{00000000-0004-0000-0400-000009000000}"/>
    <hyperlink ref="B15" location="'1_标准物理量'!A13" display="mach_number" xr:uid="{00000000-0004-0000-0400-00000A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2"/>
  <sheetViews>
    <sheetView showGridLines="0" workbookViewId="0"/>
  </sheetViews>
  <sheetFormatPr defaultRowHeight="14" x14ac:dyDescent="0.25"/>
  <cols>
    <col min="1" max="2" width="26" customWidth="1"/>
    <col min="3" max="4" width="10" customWidth="1"/>
    <col min="5" max="5" width="20" customWidth="1"/>
    <col min="6" max="6" width="10" customWidth="1"/>
    <col min="7" max="7" width="14" customWidth="1"/>
    <col min="8" max="8" width="58" customWidth="1"/>
  </cols>
  <sheetData>
    <row r="1" spans="1:8" ht="34" customHeight="1" x14ac:dyDescent="0.25">
      <c r="A1" s="19" t="s">
        <v>360</v>
      </c>
      <c r="B1" s="20"/>
      <c r="C1" s="20"/>
      <c r="D1" s="20"/>
      <c r="E1" s="20"/>
      <c r="F1" s="20"/>
      <c r="G1" s="20"/>
      <c r="H1" s="20"/>
    </row>
    <row r="2" spans="1:8" ht="20" customHeight="1" x14ac:dyDescent="0.25">
      <c r="A2" s="28" t="s">
        <v>361</v>
      </c>
      <c r="B2" s="20"/>
      <c r="C2" s="20"/>
      <c r="D2" s="20"/>
      <c r="E2" s="20"/>
      <c r="F2" s="20"/>
      <c r="G2" s="20"/>
      <c r="H2" s="20"/>
    </row>
    <row r="3" spans="1:8" ht="22" customHeight="1" x14ac:dyDescent="0.25">
      <c r="A3" s="3" t="s">
        <v>298</v>
      </c>
      <c r="B3" s="3" t="s">
        <v>18</v>
      </c>
      <c r="C3" s="3" t="s">
        <v>299</v>
      </c>
      <c r="D3" s="3" t="s">
        <v>300</v>
      </c>
      <c r="E3" s="3" t="s">
        <v>301</v>
      </c>
      <c r="F3" s="3" t="s">
        <v>254</v>
      </c>
      <c r="G3" s="3" t="s">
        <v>302</v>
      </c>
      <c r="H3" s="3" t="s">
        <v>303</v>
      </c>
    </row>
    <row r="4" spans="1:8" ht="22" customHeight="1" x14ac:dyDescent="0.25">
      <c r="A4" s="4" t="s">
        <v>24</v>
      </c>
      <c r="B4" s="11" t="s">
        <v>24</v>
      </c>
      <c r="C4" s="4" t="s">
        <v>27</v>
      </c>
      <c r="D4" s="4" t="s">
        <v>36</v>
      </c>
      <c r="E4" s="4" t="s">
        <v>362</v>
      </c>
      <c r="F4" s="7" t="s">
        <v>258</v>
      </c>
      <c r="G4" s="14" t="s">
        <v>324</v>
      </c>
      <c r="H4" s="4" t="s">
        <v>363</v>
      </c>
    </row>
    <row r="5" spans="1:8" ht="22" customHeight="1" x14ac:dyDescent="0.25">
      <c r="A5" s="2" t="s">
        <v>364</v>
      </c>
      <c r="B5" s="13" t="s">
        <v>39</v>
      </c>
      <c r="C5" s="2" t="s">
        <v>27</v>
      </c>
      <c r="D5" s="2" t="s">
        <v>36</v>
      </c>
      <c r="E5" s="2" t="s">
        <v>36</v>
      </c>
      <c r="F5" s="7" t="s">
        <v>258</v>
      </c>
      <c r="G5" s="6" t="s">
        <v>311</v>
      </c>
      <c r="H5" s="2"/>
    </row>
    <row r="6" spans="1:8" ht="22" customHeight="1" x14ac:dyDescent="0.25">
      <c r="A6" s="4" t="s">
        <v>365</v>
      </c>
      <c r="B6" s="11" t="s">
        <v>43</v>
      </c>
      <c r="C6" s="4" t="s">
        <v>27</v>
      </c>
      <c r="D6" s="4" t="s">
        <v>36</v>
      </c>
      <c r="E6" s="4" t="s">
        <v>36</v>
      </c>
      <c r="F6" s="7" t="s">
        <v>258</v>
      </c>
      <c r="G6" s="6" t="s">
        <v>311</v>
      </c>
      <c r="H6" s="4"/>
    </row>
    <row r="7" spans="1:8" ht="22" customHeight="1" x14ac:dyDescent="0.25">
      <c r="A7" s="2" t="s">
        <v>366</v>
      </c>
      <c r="B7" s="13" t="s">
        <v>45</v>
      </c>
      <c r="C7" s="2" t="s">
        <v>27</v>
      </c>
      <c r="D7" s="2" t="s">
        <v>36</v>
      </c>
      <c r="E7" s="2" t="s">
        <v>36</v>
      </c>
      <c r="F7" s="7" t="s">
        <v>258</v>
      </c>
      <c r="G7" s="6" t="s">
        <v>311</v>
      </c>
      <c r="H7" s="2"/>
    </row>
    <row r="8" spans="1:8" ht="22" customHeight="1" x14ac:dyDescent="0.25">
      <c r="A8" s="4" t="s">
        <v>367</v>
      </c>
      <c r="B8" s="11" t="s">
        <v>47</v>
      </c>
      <c r="C8" s="4" t="s">
        <v>27</v>
      </c>
      <c r="D8" s="4" t="s">
        <v>36</v>
      </c>
      <c r="E8" s="4" t="s">
        <v>36</v>
      </c>
      <c r="F8" s="7" t="s">
        <v>258</v>
      </c>
      <c r="G8" s="6" t="s">
        <v>311</v>
      </c>
      <c r="H8" s="4"/>
    </row>
    <row r="9" spans="1:8" ht="22" customHeight="1" x14ac:dyDescent="0.25">
      <c r="A9" s="2" t="s">
        <v>51</v>
      </c>
      <c r="B9" s="13" t="s">
        <v>51</v>
      </c>
      <c r="C9" s="2" t="s">
        <v>27</v>
      </c>
      <c r="D9" s="2" t="s">
        <v>36</v>
      </c>
      <c r="E9" s="2" t="s">
        <v>36</v>
      </c>
      <c r="F9" s="7" t="s">
        <v>258</v>
      </c>
      <c r="G9" s="6" t="s">
        <v>311</v>
      </c>
      <c r="H9" s="2"/>
    </row>
    <row r="10" spans="1:8" ht="22" customHeight="1" x14ac:dyDescent="0.25">
      <c r="A10" s="4" t="s">
        <v>56</v>
      </c>
      <c r="B10" s="11" t="s">
        <v>56</v>
      </c>
      <c r="C10" s="4" t="s">
        <v>27</v>
      </c>
      <c r="D10" s="4" t="s">
        <v>36</v>
      </c>
      <c r="E10" s="4" t="s">
        <v>36</v>
      </c>
      <c r="F10" s="7" t="s">
        <v>258</v>
      </c>
      <c r="G10" s="6" t="s">
        <v>311</v>
      </c>
      <c r="H10" s="4"/>
    </row>
    <row r="11" spans="1:8" ht="22" customHeight="1" x14ac:dyDescent="0.25">
      <c r="A11" s="2" t="s">
        <v>368</v>
      </c>
      <c r="B11" s="13" t="s">
        <v>32</v>
      </c>
      <c r="C11" s="2" t="s">
        <v>27</v>
      </c>
      <c r="D11" s="2" t="s">
        <v>36</v>
      </c>
      <c r="E11" s="2" t="s">
        <v>36</v>
      </c>
      <c r="F11" s="7" t="s">
        <v>258</v>
      </c>
      <c r="G11" s="6" t="s">
        <v>311</v>
      </c>
      <c r="H11" s="2"/>
    </row>
    <row r="12" spans="1:8" ht="22" customHeight="1" x14ac:dyDescent="0.25">
      <c r="A12" s="4" t="s">
        <v>369</v>
      </c>
      <c r="B12" s="11" t="s">
        <v>49</v>
      </c>
      <c r="C12" s="4" t="s">
        <v>27</v>
      </c>
      <c r="D12" s="4" t="s">
        <v>36</v>
      </c>
      <c r="E12" s="4" t="s">
        <v>36</v>
      </c>
      <c r="F12" s="7" t="s">
        <v>258</v>
      </c>
      <c r="G12" s="6" t="s">
        <v>311</v>
      </c>
      <c r="H12" s="4"/>
    </row>
    <row r="13" spans="1:8" ht="22" customHeight="1" x14ac:dyDescent="0.25">
      <c r="A13" s="2" t="s">
        <v>370</v>
      </c>
      <c r="B13" s="13" t="s">
        <v>34</v>
      </c>
      <c r="C13" s="2" t="s">
        <v>27</v>
      </c>
      <c r="D13" s="2" t="s">
        <v>36</v>
      </c>
      <c r="E13" s="2" t="s">
        <v>36</v>
      </c>
      <c r="F13" s="7" t="s">
        <v>258</v>
      </c>
      <c r="G13" s="6" t="s">
        <v>311</v>
      </c>
      <c r="H13" s="2" t="s">
        <v>371</v>
      </c>
    </row>
    <row r="14" spans="1:8" ht="22" customHeight="1" x14ac:dyDescent="0.25">
      <c r="A14" s="4" t="s">
        <v>372</v>
      </c>
      <c r="B14" s="11" t="s">
        <v>74</v>
      </c>
      <c r="C14" s="4" t="s">
        <v>27</v>
      </c>
      <c r="D14" s="4" t="s">
        <v>36</v>
      </c>
      <c r="E14" s="4" t="s">
        <v>36</v>
      </c>
      <c r="F14" s="7" t="s">
        <v>258</v>
      </c>
      <c r="G14" s="6" t="s">
        <v>311</v>
      </c>
      <c r="H14" s="4"/>
    </row>
    <row r="15" spans="1:8" ht="22" customHeight="1" x14ac:dyDescent="0.25">
      <c r="A15" s="2" t="s">
        <v>373</v>
      </c>
      <c r="B15" s="13" t="s">
        <v>77</v>
      </c>
      <c r="C15" s="2" t="s">
        <v>27</v>
      </c>
      <c r="D15" s="2" t="s">
        <v>36</v>
      </c>
      <c r="E15" s="2" t="s">
        <v>36</v>
      </c>
      <c r="F15" s="7" t="s">
        <v>258</v>
      </c>
      <c r="G15" s="6" t="s">
        <v>311</v>
      </c>
      <c r="H15" s="2" t="s">
        <v>374</v>
      </c>
    </row>
    <row r="16" spans="1:8" ht="22" customHeight="1" x14ac:dyDescent="0.25">
      <c r="A16" s="4" t="s">
        <v>375</v>
      </c>
      <c r="B16" s="11" t="s">
        <v>81</v>
      </c>
      <c r="C16" s="4" t="s">
        <v>27</v>
      </c>
      <c r="D16" s="4" t="s">
        <v>36</v>
      </c>
      <c r="E16" s="4" t="s">
        <v>36</v>
      </c>
      <c r="F16" s="7" t="s">
        <v>258</v>
      </c>
      <c r="G16" s="6" t="s">
        <v>311</v>
      </c>
      <c r="H16" s="4" t="s">
        <v>376</v>
      </c>
    </row>
    <row r="17" spans="1:8" ht="22" customHeight="1" x14ac:dyDescent="0.25">
      <c r="A17" s="2" t="s">
        <v>377</v>
      </c>
      <c r="B17" s="13" t="s">
        <v>85</v>
      </c>
      <c r="C17" s="2" t="s">
        <v>27</v>
      </c>
      <c r="D17" s="2" t="s">
        <v>36</v>
      </c>
      <c r="E17" s="2" t="s">
        <v>354</v>
      </c>
      <c r="F17" s="7" t="s">
        <v>258</v>
      </c>
      <c r="G17" s="14" t="s">
        <v>324</v>
      </c>
      <c r="H17" s="2" t="s">
        <v>378</v>
      </c>
    </row>
    <row r="18" spans="1:8" ht="22" customHeight="1" x14ac:dyDescent="0.25">
      <c r="A18" s="4" t="s">
        <v>379</v>
      </c>
      <c r="B18" s="11" t="s">
        <v>92</v>
      </c>
      <c r="C18" s="4" t="s">
        <v>27</v>
      </c>
      <c r="D18" s="4" t="s">
        <v>36</v>
      </c>
      <c r="E18" s="4" t="s">
        <v>36</v>
      </c>
      <c r="F18" s="7" t="s">
        <v>258</v>
      </c>
      <c r="G18" s="6" t="s">
        <v>311</v>
      </c>
      <c r="H18" s="4" t="s">
        <v>380</v>
      </c>
    </row>
    <row r="19" spans="1:8" ht="22" customHeight="1" x14ac:dyDescent="0.25">
      <c r="A19" s="2" t="s">
        <v>381</v>
      </c>
      <c r="B19" s="13" t="s">
        <v>96</v>
      </c>
      <c r="C19" s="2" t="s">
        <v>27</v>
      </c>
      <c r="D19" s="2" t="s">
        <v>36</v>
      </c>
      <c r="E19" s="2" t="s">
        <v>36</v>
      </c>
      <c r="F19" s="7" t="s">
        <v>258</v>
      </c>
      <c r="G19" s="6" t="s">
        <v>311</v>
      </c>
      <c r="H19" s="2"/>
    </row>
    <row r="20" spans="1:8" ht="22" customHeight="1" x14ac:dyDescent="0.25">
      <c r="A20" s="4" t="s">
        <v>382</v>
      </c>
      <c r="B20" s="11" t="s">
        <v>99</v>
      </c>
      <c r="C20" s="4" t="s">
        <v>27</v>
      </c>
      <c r="D20" s="4" t="s">
        <v>36</v>
      </c>
      <c r="E20" s="4" t="s">
        <v>36</v>
      </c>
      <c r="F20" s="7" t="s">
        <v>258</v>
      </c>
      <c r="G20" s="6" t="s">
        <v>311</v>
      </c>
      <c r="H20" s="4"/>
    </row>
    <row r="21" spans="1:8" ht="22" customHeight="1" x14ac:dyDescent="0.25">
      <c r="A21" s="2" t="s">
        <v>383</v>
      </c>
      <c r="B21" s="13" t="s">
        <v>109</v>
      </c>
      <c r="C21" s="2" t="s">
        <v>27</v>
      </c>
      <c r="D21" s="2" t="s">
        <v>36</v>
      </c>
      <c r="E21" s="2" t="s">
        <v>36</v>
      </c>
      <c r="F21" s="7" t="s">
        <v>258</v>
      </c>
      <c r="G21" s="6" t="s">
        <v>311</v>
      </c>
      <c r="H21" s="2"/>
    </row>
    <row r="22" spans="1:8" ht="22" customHeight="1" x14ac:dyDescent="0.25">
      <c r="A22" s="4" t="s">
        <v>384</v>
      </c>
      <c r="B22" s="11" t="s">
        <v>111</v>
      </c>
      <c r="C22" s="4" t="s">
        <v>27</v>
      </c>
      <c r="D22" s="4" t="s">
        <v>36</v>
      </c>
      <c r="E22" s="4" t="s">
        <v>36</v>
      </c>
      <c r="F22" s="9" t="s">
        <v>281</v>
      </c>
      <c r="G22" s="6" t="s">
        <v>311</v>
      </c>
      <c r="H22" s="4" t="s">
        <v>385</v>
      </c>
    </row>
  </sheetData>
  <mergeCells count="2">
    <mergeCell ref="A2:H2"/>
    <mergeCell ref="A1:H1"/>
  </mergeCells>
  <phoneticPr fontId="19" type="noConversion"/>
  <hyperlinks>
    <hyperlink ref="B4" location="'1_标准物理量'!A4" display="pressure" xr:uid="{00000000-0004-0000-0500-000000000000}"/>
    <hyperlink ref="B5" location="'1_标准物理量'!A9" display="velocity_x" xr:uid="{00000000-0004-0000-0500-000001000000}"/>
    <hyperlink ref="B6" location="'1_标准物理量'!A10" display="velocity_y" xr:uid="{00000000-0004-0000-0500-000002000000}"/>
    <hyperlink ref="B7" location="'1_标准物理量'!A11" display="velocity_z" xr:uid="{00000000-0004-0000-0500-000003000000}"/>
    <hyperlink ref="B8" location="'1_标准物理量'!A12" display="velocity_magnitude" xr:uid="{00000000-0004-0000-0500-000004000000}"/>
    <hyperlink ref="B9" location="'1_标准物理量'!A14" display="density" xr:uid="{00000000-0004-0000-0500-000005000000}"/>
    <hyperlink ref="B10" location="'1_标准物理量'!A16" display="temperature" xr:uid="{00000000-0004-0000-0500-000006000000}"/>
    <hyperlink ref="B11" location="'1_标准物理量'!A6" display="pressure_total" xr:uid="{00000000-0004-0000-0500-000007000000}"/>
    <hyperlink ref="B12" location="'1_标准物理量'!A13" display="mach_number" xr:uid="{00000000-0004-0000-0500-000008000000}"/>
    <hyperlink ref="B13" location="'1_标准物理量'!A7" display="pressure_coefficient" xr:uid="{00000000-0004-0000-0500-000009000000}"/>
    <hyperlink ref="B14" location="'1_标准物理量'!A22" display="tke" xr:uid="{00000000-0004-0000-0500-00000A000000}"/>
    <hyperlink ref="B15" location="'1_标准物理量'!A23" display="tdr" xr:uid="{00000000-0004-0000-0500-00000B000000}"/>
    <hyperlink ref="B16" location="'1_标准物理量'!A24" display="sdr" xr:uid="{00000000-0004-0000-0500-00000C000000}"/>
    <hyperlink ref="B17" location="'1_标准物理量'!A25" display="nut" xr:uid="{00000000-0004-0000-0500-00000D000000}"/>
    <hyperlink ref="B18" location="'1_标准物理量'!A28" display="wall_shear_stress" xr:uid="{00000000-0004-0000-0500-00000E000000}"/>
    <hyperlink ref="B19" location="'1_标准物理量'!A29" display="y_plus" xr:uid="{00000000-0004-0000-0500-00000F000000}"/>
    <hyperlink ref="B20" location="'1_标准物理量'!A30" display="skin_friction_coeff" xr:uid="{00000000-0004-0000-0500-000010000000}"/>
    <hyperlink ref="B21" location="'1_标准物理量'!A35" display="vorticity_magnitude" xr:uid="{00000000-0004-0000-0500-000011000000}"/>
    <hyperlink ref="B22" location="'1_标准物理量'!A36" display="q_criterion" xr:uid="{00000000-0004-0000-0500-000012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0"/>
  <sheetViews>
    <sheetView showGridLines="0" workbookViewId="0"/>
  </sheetViews>
  <sheetFormatPr defaultRowHeight="14" x14ac:dyDescent="0.25"/>
  <cols>
    <col min="1" max="2" width="26" customWidth="1"/>
    <col min="3" max="4" width="10" customWidth="1"/>
    <col min="5" max="5" width="20" customWidth="1"/>
    <col min="6" max="6" width="10" customWidth="1"/>
    <col min="7" max="7" width="14" customWidth="1"/>
    <col min="8" max="8" width="58" customWidth="1"/>
  </cols>
  <sheetData>
    <row r="1" spans="1:8" ht="34" customHeight="1" x14ac:dyDescent="0.25">
      <c r="A1" s="19" t="s">
        <v>386</v>
      </c>
      <c r="B1" s="20"/>
      <c r="C1" s="20"/>
      <c r="D1" s="20"/>
      <c r="E1" s="20"/>
      <c r="F1" s="20"/>
      <c r="G1" s="20"/>
      <c r="H1" s="20"/>
    </row>
    <row r="2" spans="1:8" ht="20" customHeight="1" x14ac:dyDescent="0.25">
      <c r="A2" s="28" t="s">
        <v>387</v>
      </c>
      <c r="B2" s="20"/>
      <c r="C2" s="20"/>
      <c r="D2" s="20"/>
      <c r="E2" s="20"/>
      <c r="F2" s="20"/>
      <c r="G2" s="20"/>
      <c r="H2" s="20"/>
    </row>
    <row r="3" spans="1:8" ht="22" customHeight="1" x14ac:dyDescent="0.25">
      <c r="A3" s="3" t="s">
        <v>298</v>
      </c>
      <c r="B3" s="3" t="s">
        <v>18</v>
      </c>
      <c r="C3" s="3" t="s">
        <v>299</v>
      </c>
      <c r="D3" s="3" t="s">
        <v>300</v>
      </c>
      <c r="E3" s="3" t="s">
        <v>301</v>
      </c>
      <c r="F3" s="3" t="s">
        <v>254</v>
      </c>
      <c r="G3" s="3" t="s">
        <v>302</v>
      </c>
      <c r="H3" s="3" t="s">
        <v>303</v>
      </c>
    </row>
    <row r="4" spans="1:8" ht="22" customHeight="1" x14ac:dyDescent="0.25">
      <c r="A4" s="4" t="s">
        <v>388</v>
      </c>
      <c r="B4" s="11" t="s">
        <v>24</v>
      </c>
      <c r="C4" s="4" t="s">
        <v>27</v>
      </c>
      <c r="D4" s="4" t="s">
        <v>36</v>
      </c>
      <c r="E4" s="4" t="s">
        <v>36</v>
      </c>
      <c r="F4" s="7" t="s">
        <v>258</v>
      </c>
      <c r="G4" s="6" t="s">
        <v>311</v>
      </c>
      <c r="H4" s="4" t="s">
        <v>389</v>
      </c>
    </row>
    <row r="5" spans="1:8" ht="22" customHeight="1" x14ac:dyDescent="0.25">
      <c r="A5" s="2" t="s">
        <v>390</v>
      </c>
      <c r="B5" s="13" t="s">
        <v>32</v>
      </c>
      <c r="C5" s="2" t="s">
        <v>27</v>
      </c>
      <c r="D5" s="2" t="s">
        <v>36</v>
      </c>
      <c r="E5" s="2" t="s">
        <v>36</v>
      </c>
      <c r="F5" s="7" t="s">
        <v>258</v>
      </c>
      <c r="G5" s="6" t="s">
        <v>311</v>
      </c>
      <c r="H5" s="2"/>
    </row>
    <row r="6" spans="1:8" ht="22" customHeight="1" x14ac:dyDescent="0.25">
      <c r="A6" s="4" t="s">
        <v>391</v>
      </c>
      <c r="B6" s="11" t="s">
        <v>39</v>
      </c>
      <c r="C6" s="4" t="s">
        <v>27</v>
      </c>
      <c r="D6" s="4" t="s">
        <v>36</v>
      </c>
      <c r="E6" s="4" t="s">
        <v>36</v>
      </c>
      <c r="F6" s="7" t="s">
        <v>258</v>
      </c>
      <c r="G6" s="6" t="s">
        <v>311</v>
      </c>
      <c r="H6" s="4" t="s">
        <v>392</v>
      </c>
    </row>
    <row r="7" spans="1:8" ht="22" customHeight="1" x14ac:dyDescent="0.25">
      <c r="A7" s="2" t="s">
        <v>393</v>
      </c>
      <c r="B7" s="13" t="s">
        <v>43</v>
      </c>
      <c r="C7" s="2" t="s">
        <v>27</v>
      </c>
      <c r="D7" s="2" t="s">
        <v>36</v>
      </c>
      <c r="E7" s="2" t="s">
        <v>36</v>
      </c>
      <c r="F7" s="7" t="s">
        <v>258</v>
      </c>
      <c r="G7" s="6" t="s">
        <v>311</v>
      </c>
      <c r="H7" s="2"/>
    </row>
    <row r="8" spans="1:8" ht="22" customHeight="1" x14ac:dyDescent="0.25">
      <c r="A8" s="4" t="s">
        <v>394</v>
      </c>
      <c r="B8" s="11" t="s">
        <v>45</v>
      </c>
      <c r="C8" s="4" t="s">
        <v>27</v>
      </c>
      <c r="D8" s="4" t="s">
        <v>36</v>
      </c>
      <c r="E8" s="4" t="s">
        <v>36</v>
      </c>
      <c r="F8" s="7" t="s">
        <v>258</v>
      </c>
      <c r="G8" s="6" t="s">
        <v>311</v>
      </c>
      <c r="H8" s="4"/>
    </row>
    <row r="9" spans="1:8" ht="22" customHeight="1" x14ac:dyDescent="0.25">
      <c r="A9" s="2" t="s">
        <v>395</v>
      </c>
      <c r="B9" s="13" t="s">
        <v>47</v>
      </c>
      <c r="C9" s="2" t="s">
        <v>27</v>
      </c>
      <c r="D9" s="2" t="s">
        <v>36</v>
      </c>
      <c r="E9" s="2" t="s">
        <v>36</v>
      </c>
      <c r="F9" s="7" t="s">
        <v>258</v>
      </c>
      <c r="G9" s="6" t="s">
        <v>311</v>
      </c>
      <c r="H9" s="2" t="s">
        <v>396</v>
      </c>
    </row>
    <row r="10" spans="1:8" ht="22" customHeight="1" x14ac:dyDescent="0.25">
      <c r="A10" s="4" t="s">
        <v>397</v>
      </c>
      <c r="B10" s="11" t="s">
        <v>56</v>
      </c>
      <c r="C10" s="4" t="s">
        <v>27</v>
      </c>
      <c r="D10" s="4" t="s">
        <v>36</v>
      </c>
      <c r="E10" s="4" t="s">
        <v>36</v>
      </c>
      <c r="F10" s="7" t="s">
        <v>258</v>
      </c>
      <c r="G10" s="6" t="s">
        <v>311</v>
      </c>
      <c r="H10" s="4"/>
    </row>
    <row r="11" spans="1:8" ht="22" customHeight="1" x14ac:dyDescent="0.25">
      <c r="A11" s="2" t="s">
        <v>398</v>
      </c>
      <c r="B11" s="13" t="s">
        <v>51</v>
      </c>
      <c r="C11" s="2" t="s">
        <v>27</v>
      </c>
      <c r="D11" s="2" t="s">
        <v>36</v>
      </c>
      <c r="E11" s="2" t="s">
        <v>36</v>
      </c>
      <c r="F11" s="7" t="s">
        <v>258</v>
      </c>
      <c r="G11" s="6" t="s">
        <v>311</v>
      </c>
      <c r="H11" s="2"/>
    </row>
    <row r="12" spans="1:8" ht="22" customHeight="1" x14ac:dyDescent="0.25">
      <c r="A12" s="4" t="s">
        <v>399</v>
      </c>
      <c r="B12" s="11" t="s">
        <v>49</v>
      </c>
      <c r="C12" s="4" t="s">
        <v>27</v>
      </c>
      <c r="D12" s="4" t="s">
        <v>36</v>
      </c>
      <c r="E12" s="4" t="s">
        <v>36</v>
      </c>
      <c r="F12" s="7" t="s">
        <v>258</v>
      </c>
      <c r="G12" s="6" t="s">
        <v>311</v>
      </c>
      <c r="H12" s="4"/>
    </row>
    <row r="13" spans="1:8" ht="22" customHeight="1" x14ac:dyDescent="0.25">
      <c r="A13" s="2" t="s">
        <v>400</v>
      </c>
      <c r="B13" s="13" t="s">
        <v>74</v>
      </c>
      <c r="C13" s="2" t="s">
        <v>27</v>
      </c>
      <c r="D13" s="2" t="s">
        <v>36</v>
      </c>
      <c r="E13" s="2" t="s">
        <v>36</v>
      </c>
      <c r="F13" s="7" t="s">
        <v>258</v>
      </c>
      <c r="G13" s="6" t="s">
        <v>311</v>
      </c>
      <c r="H13" s="2"/>
    </row>
    <row r="14" spans="1:8" ht="22" customHeight="1" x14ac:dyDescent="0.25">
      <c r="A14" s="4" t="s">
        <v>401</v>
      </c>
      <c r="B14" s="11" t="s">
        <v>77</v>
      </c>
      <c r="C14" s="4" t="s">
        <v>27</v>
      </c>
      <c r="D14" s="4" t="s">
        <v>36</v>
      </c>
      <c r="E14" s="4" t="s">
        <v>36</v>
      </c>
      <c r="F14" s="7" t="s">
        <v>258</v>
      </c>
      <c r="G14" s="6" t="s">
        <v>311</v>
      </c>
      <c r="H14" s="4" t="s">
        <v>402</v>
      </c>
    </row>
    <row r="15" spans="1:8" ht="22" customHeight="1" x14ac:dyDescent="0.25">
      <c r="A15" s="2" t="s">
        <v>403</v>
      </c>
      <c r="B15" s="13" t="s">
        <v>81</v>
      </c>
      <c r="C15" s="2" t="s">
        <v>27</v>
      </c>
      <c r="D15" s="2" t="s">
        <v>36</v>
      </c>
      <c r="E15" s="2" t="s">
        <v>36</v>
      </c>
      <c r="F15" s="7" t="s">
        <v>258</v>
      </c>
      <c r="G15" s="6" t="s">
        <v>311</v>
      </c>
      <c r="H15" s="2" t="s">
        <v>404</v>
      </c>
    </row>
    <row r="16" spans="1:8" ht="22" customHeight="1" x14ac:dyDescent="0.25">
      <c r="A16" s="4" t="s">
        <v>405</v>
      </c>
      <c r="B16" s="11" t="s">
        <v>85</v>
      </c>
      <c r="C16" s="4" t="s">
        <v>27</v>
      </c>
      <c r="D16" s="4" t="s">
        <v>36</v>
      </c>
      <c r="E16" s="4" t="s">
        <v>354</v>
      </c>
      <c r="F16" s="7" t="s">
        <v>258</v>
      </c>
      <c r="G16" s="14" t="s">
        <v>324</v>
      </c>
      <c r="H16" s="4" t="s">
        <v>406</v>
      </c>
    </row>
    <row r="17" spans="1:8" ht="22" customHeight="1" x14ac:dyDescent="0.25">
      <c r="A17" s="2" t="s">
        <v>407</v>
      </c>
      <c r="B17" s="13" t="s">
        <v>92</v>
      </c>
      <c r="C17" s="2" t="s">
        <v>27</v>
      </c>
      <c r="D17" s="2" t="s">
        <v>36</v>
      </c>
      <c r="E17" s="2" t="s">
        <v>36</v>
      </c>
      <c r="F17" s="7" t="s">
        <v>258</v>
      </c>
      <c r="G17" s="6" t="s">
        <v>311</v>
      </c>
      <c r="H17" s="2"/>
    </row>
    <row r="18" spans="1:8" ht="22" customHeight="1" x14ac:dyDescent="0.25">
      <c r="A18" s="4" t="s">
        <v>408</v>
      </c>
      <c r="B18" s="11" t="s">
        <v>96</v>
      </c>
      <c r="C18" s="4" t="s">
        <v>27</v>
      </c>
      <c r="D18" s="4" t="s">
        <v>36</v>
      </c>
      <c r="E18" s="4" t="s">
        <v>36</v>
      </c>
      <c r="F18" s="7" t="s">
        <v>258</v>
      </c>
      <c r="G18" s="6" t="s">
        <v>311</v>
      </c>
      <c r="H18" s="4"/>
    </row>
    <row r="19" spans="1:8" ht="22" customHeight="1" x14ac:dyDescent="0.25">
      <c r="A19" s="2" t="s">
        <v>409</v>
      </c>
      <c r="B19" s="13" t="s">
        <v>34</v>
      </c>
      <c r="C19" s="2" t="s">
        <v>27</v>
      </c>
      <c r="D19" s="2" t="s">
        <v>36</v>
      </c>
      <c r="E19" s="2" t="s">
        <v>36</v>
      </c>
      <c r="F19" s="7" t="s">
        <v>258</v>
      </c>
      <c r="G19" s="6" t="s">
        <v>311</v>
      </c>
      <c r="H19" s="2"/>
    </row>
    <row r="20" spans="1:8" ht="22" customHeight="1" x14ac:dyDescent="0.25">
      <c r="A20" s="4" t="s">
        <v>410</v>
      </c>
      <c r="B20" s="11" t="s">
        <v>109</v>
      </c>
      <c r="C20" s="4" t="s">
        <v>27</v>
      </c>
      <c r="D20" s="4" t="s">
        <v>36</v>
      </c>
      <c r="E20" s="4" t="s">
        <v>36</v>
      </c>
      <c r="F20" s="7" t="s">
        <v>258</v>
      </c>
      <c r="G20" s="6" t="s">
        <v>311</v>
      </c>
      <c r="H20" s="4"/>
    </row>
  </sheetData>
  <mergeCells count="2">
    <mergeCell ref="A2:H2"/>
    <mergeCell ref="A1:H1"/>
  </mergeCells>
  <phoneticPr fontId="19" type="noConversion"/>
  <hyperlinks>
    <hyperlink ref="B4" location="'1_标准物理量'!A4" display="pressure" xr:uid="{00000000-0004-0000-0600-000000000000}"/>
    <hyperlink ref="B5" location="'1_标准物理量'!A6" display="pressure_total" xr:uid="{00000000-0004-0000-0600-000001000000}"/>
    <hyperlink ref="B6" location="'1_标准物理量'!A9" display="velocity_x" xr:uid="{00000000-0004-0000-0600-000002000000}"/>
    <hyperlink ref="B7" location="'1_标准物理量'!A10" display="velocity_y" xr:uid="{00000000-0004-0000-0600-000003000000}"/>
    <hyperlink ref="B8" location="'1_标准物理量'!A11" display="velocity_z" xr:uid="{00000000-0004-0000-0600-000004000000}"/>
    <hyperlink ref="B9" location="'1_标准物理量'!A12" display="velocity_magnitude" xr:uid="{00000000-0004-0000-0600-000005000000}"/>
    <hyperlink ref="B10" location="'1_标准物理量'!A16" display="temperature" xr:uid="{00000000-0004-0000-0600-000006000000}"/>
    <hyperlink ref="B11" location="'1_标准物理量'!A14" display="density" xr:uid="{00000000-0004-0000-0600-000007000000}"/>
    <hyperlink ref="B12" location="'1_标准物理量'!A13" display="mach_number" xr:uid="{00000000-0004-0000-0600-000008000000}"/>
    <hyperlink ref="B13" location="'1_标准物理量'!A22" display="tke" xr:uid="{00000000-0004-0000-0600-000009000000}"/>
    <hyperlink ref="B14" location="'1_标准物理量'!A23" display="tdr" xr:uid="{00000000-0004-0000-0600-00000A000000}"/>
    <hyperlink ref="B15" location="'1_标准物理量'!A24" display="sdr" xr:uid="{00000000-0004-0000-0600-00000B000000}"/>
    <hyperlink ref="B16" location="'1_标准物理量'!A25" display="nut" xr:uid="{00000000-0004-0000-0600-00000C000000}"/>
    <hyperlink ref="B17" location="'1_标准物理量'!A28" display="wall_shear_stress" xr:uid="{00000000-0004-0000-0600-00000D000000}"/>
    <hyperlink ref="B18" location="'1_标准物理量'!A29" display="y_plus" xr:uid="{00000000-0004-0000-0600-00000E000000}"/>
    <hyperlink ref="B19" location="'1_标准物理量'!A7" display="pressure_coefficient" xr:uid="{00000000-0004-0000-0600-00000F000000}"/>
    <hyperlink ref="B20" location="'1_标准物理量'!A35" display="vorticity_magnitude" xr:uid="{00000000-0004-0000-0600-000010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showGridLines="0" workbookViewId="0">
      <selection sqref="A1:H1"/>
    </sheetView>
  </sheetViews>
  <sheetFormatPr defaultRowHeight="14" x14ac:dyDescent="0.25"/>
  <cols>
    <col min="1" max="2" width="26" customWidth="1"/>
    <col min="3" max="4" width="10" customWidth="1"/>
    <col min="5" max="5" width="20" customWidth="1"/>
    <col min="6" max="6" width="10" customWidth="1"/>
    <col min="7" max="7" width="14" customWidth="1"/>
    <col min="8" max="8" width="58" customWidth="1"/>
  </cols>
  <sheetData>
    <row r="1" spans="1:8" ht="34" customHeight="1" x14ac:dyDescent="0.25">
      <c r="A1" s="19" t="s">
        <v>411</v>
      </c>
      <c r="B1" s="20"/>
      <c r="C1" s="20"/>
      <c r="D1" s="20"/>
      <c r="E1" s="20"/>
      <c r="F1" s="20"/>
      <c r="G1" s="20"/>
      <c r="H1" s="20"/>
    </row>
    <row r="2" spans="1:8" ht="20" customHeight="1" x14ac:dyDescent="0.25">
      <c r="A2" s="28" t="s">
        <v>412</v>
      </c>
      <c r="B2" s="20"/>
      <c r="C2" s="20"/>
      <c r="D2" s="20"/>
      <c r="E2" s="20"/>
      <c r="F2" s="20"/>
      <c r="G2" s="20"/>
      <c r="H2" s="20"/>
    </row>
    <row r="3" spans="1:8" ht="22" customHeight="1" x14ac:dyDescent="0.25">
      <c r="A3" s="3" t="s">
        <v>298</v>
      </c>
      <c r="B3" s="3" t="s">
        <v>18</v>
      </c>
      <c r="C3" s="3" t="s">
        <v>299</v>
      </c>
      <c r="D3" s="3" t="s">
        <v>300</v>
      </c>
      <c r="E3" s="3" t="s">
        <v>301</v>
      </c>
      <c r="F3" s="3" t="s">
        <v>254</v>
      </c>
      <c r="G3" s="3" t="s">
        <v>302</v>
      </c>
      <c r="H3" s="3" t="s">
        <v>303</v>
      </c>
    </row>
    <row r="4" spans="1:8" ht="22" customHeight="1" x14ac:dyDescent="0.25">
      <c r="A4" s="4" t="s">
        <v>388</v>
      </c>
      <c r="B4" s="11" t="s">
        <v>24</v>
      </c>
      <c r="C4" s="4" t="s">
        <v>27</v>
      </c>
      <c r="D4" s="4" t="s">
        <v>36</v>
      </c>
      <c r="E4" s="4" t="s">
        <v>36</v>
      </c>
      <c r="F4" s="7" t="s">
        <v>258</v>
      </c>
      <c r="G4" s="6" t="s">
        <v>311</v>
      </c>
      <c r="H4" s="4" t="s">
        <v>413</v>
      </c>
    </row>
    <row r="5" spans="1:8" ht="22" customHeight="1" x14ac:dyDescent="0.25">
      <c r="A5" s="2" t="s">
        <v>414</v>
      </c>
      <c r="B5" s="13" t="s">
        <v>32</v>
      </c>
      <c r="C5" s="2" t="s">
        <v>27</v>
      </c>
      <c r="D5" s="2" t="s">
        <v>36</v>
      </c>
      <c r="E5" s="2" t="s">
        <v>36</v>
      </c>
      <c r="F5" s="7" t="s">
        <v>258</v>
      </c>
      <c r="G5" s="6" t="s">
        <v>311</v>
      </c>
      <c r="H5" s="2" t="s">
        <v>415</v>
      </c>
    </row>
    <row r="6" spans="1:8" ht="22" customHeight="1" x14ac:dyDescent="0.25">
      <c r="A6" s="4" t="s">
        <v>416</v>
      </c>
      <c r="B6" s="11" t="s">
        <v>34</v>
      </c>
      <c r="C6" s="4" t="s">
        <v>27</v>
      </c>
      <c r="D6" s="4" t="s">
        <v>36</v>
      </c>
      <c r="E6" s="4" t="s">
        <v>36</v>
      </c>
      <c r="F6" s="7" t="s">
        <v>258</v>
      </c>
      <c r="G6" s="6" t="s">
        <v>311</v>
      </c>
      <c r="H6" s="4" t="s">
        <v>415</v>
      </c>
    </row>
    <row r="7" spans="1:8" ht="22" customHeight="1" x14ac:dyDescent="0.25">
      <c r="A7" s="2" t="s">
        <v>398</v>
      </c>
      <c r="B7" s="13" t="s">
        <v>51</v>
      </c>
      <c r="C7" s="2" t="s">
        <v>27</v>
      </c>
      <c r="D7" s="2" t="s">
        <v>36</v>
      </c>
      <c r="E7" s="2" t="s">
        <v>36</v>
      </c>
      <c r="F7" s="7" t="s">
        <v>258</v>
      </c>
      <c r="G7" s="6" t="s">
        <v>311</v>
      </c>
      <c r="H7" s="2" t="s">
        <v>415</v>
      </c>
    </row>
    <row r="8" spans="1:8" ht="22" customHeight="1" x14ac:dyDescent="0.25">
      <c r="A8" s="4" t="s">
        <v>417</v>
      </c>
      <c r="B8" s="11" t="s">
        <v>39</v>
      </c>
      <c r="C8" s="4" t="s">
        <v>27</v>
      </c>
      <c r="D8" s="4" t="s">
        <v>36</v>
      </c>
      <c r="E8" s="4" t="s">
        <v>36</v>
      </c>
      <c r="F8" s="7" t="s">
        <v>258</v>
      </c>
      <c r="G8" s="6" t="s">
        <v>311</v>
      </c>
      <c r="H8" s="4" t="s">
        <v>415</v>
      </c>
    </row>
    <row r="9" spans="1:8" ht="22" customHeight="1" x14ac:dyDescent="0.25">
      <c r="A9" s="2" t="s">
        <v>418</v>
      </c>
      <c r="B9" s="13" t="s">
        <v>43</v>
      </c>
      <c r="C9" s="2" t="s">
        <v>27</v>
      </c>
      <c r="D9" s="2" t="s">
        <v>36</v>
      </c>
      <c r="E9" s="2" t="s">
        <v>36</v>
      </c>
      <c r="F9" s="7" t="s">
        <v>258</v>
      </c>
      <c r="G9" s="6" t="s">
        <v>311</v>
      </c>
      <c r="H9" s="2"/>
    </row>
    <row r="10" spans="1:8" ht="22" customHeight="1" x14ac:dyDescent="0.25">
      <c r="A10" s="4" t="s">
        <v>419</v>
      </c>
      <c r="B10" s="11" t="s">
        <v>45</v>
      </c>
      <c r="C10" s="4" t="s">
        <v>27</v>
      </c>
      <c r="D10" s="4" t="s">
        <v>36</v>
      </c>
      <c r="E10" s="4" t="s">
        <v>36</v>
      </c>
      <c r="F10" s="7" t="s">
        <v>258</v>
      </c>
      <c r="G10" s="6" t="s">
        <v>311</v>
      </c>
      <c r="H10" s="4"/>
    </row>
    <row r="11" spans="1:8" ht="22" customHeight="1" x14ac:dyDescent="0.25">
      <c r="A11" s="2" t="s">
        <v>420</v>
      </c>
      <c r="B11" s="13" t="s">
        <v>47</v>
      </c>
      <c r="C11" s="2" t="s">
        <v>27</v>
      </c>
      <c r="D11" s="2" t="s">
        <v>36</v>
      </c>
      <c r="E11" s="2" t="s">
        <v>36</v>
      </c>
      <c r="F11" s="7" t="s">
        <v>258</v>
      </c>
      <c r="G11" s="6" t="s">
        <v>311</v>
      </c>
      <c r="H11" s="2"/>
    </row>
    <row r="12" spans="1:8" ht="22" customHeight="1" x14ac:dyDescent="0.25">
      <c r="A12" s="4" t="s">
        <v>421</v>
      </c>
      <c r="B12" s="11" t="s">
        <v>49</v>
      </c>
      <c r="C12" s="4" t="s">
        <v>27</v>
      </c>
      <c r="D12" s="4" t="s">
        <v>36</v>
      </c>
      <c r="E12" s="4" t="s">
        <v>36</v>
      </c>
      <c r="F12" s="7" t="s">
        <v>258</v>
      </c>
      <c r="G12" s="6" t="s">
        <v>311</v>
      </c>
      <c r="H12" s="4" t="s">
        <v>415</v>
      </c>
    </row>
    <row r="13" spans="1:8" ht="22" customHeight="1" x14ac:dyDescent="0.25">
      <c r="A13" s="2" t="s">
        <v>397</v>
      </c>
      <c r="B13" s="13" t="s">
        <v>56</v>
      </c>
      <c r="C13" s="2" t="s">
        <v>27</v>
      </c>
      <c r="D13" s="2" t="s">
        <v>36</v>
      </c>
      <c r="E13" s="2" t="s">
        <v>36</v>
      </c>
      <c r="F13" s="7" t="s">
        <v>258</v>
      </c>
      <c r="G13" s="6" t="s">
        <v>311</v>
      </c>
      <c r="H13" s="2"/>
    </row>
    <row r="14" spans="1:8" ht="22" customHeight="1" x14ac:dyDescent="0.25">
      <c r="A14" s="4" t="s">
        <v>422</v>
      </c>
      <c r="B14" s="11" t="s">
        <v>39</v>
      </c>
      <c r="C14" s="4" t="s">
        <v>27</v>
      </c>
      <c r="D14" s="4" t="s">
        <v>36</v>
      </c>
      <c r="E14" s="4" t="s">
        <v>423</v>
      </c>
      <c r="F14" s="7" t="s">
        <v>258</v>
      </c>
      <c r="G14" s="14" t="s">
        <v>324</v>
      </c>
      <c r="H14" s="4" t="s">
        <v>424</v>
      </c>
    </row>
    <row r="15" spans="1:8" ht="22" customHeight="1" x14ac:dyDescent="0.25">
      <c r="A15" s="2" t="s">
        <v>425</v>
      </c>
      <c r="B15" s="13" t="s">
        <v>43</v>
      </c>
      <c r="C15" s="2" t="s">
        <v>27</v>
      </c>
      <c r="D15" s="2" t="s">
        <v>36</v>
      </c>
      <c r="E15" s="2" t="s">
        <v>423</v>
      </c>
      <c r="F15" s="7" t="s">
        <v>258</v>
      </c>
      <c r="G15" s="14" t="s">
        <v>324</v>
      </c>
      <c r="H15" s="2"/>
    </row>
    <row r="16" spans="1:8" ht="22" customHeight="1" x14ac:dyDescent="0.25">
      <c r="A16" s="4" t="s">
        <v>426</v>
      </c>
      <c r="B16" s="11" t="s">
        <v>45</v>
      </c>
      <c r="C16" s="4" t="s">
        <v>27</v>
      </c>
      <c r="D16" s="4" t="s">
        <v>36</v>
      </c>
      <c r="E16" s="4" t="s">
        <v>423</v>
      </c>
      <c r="F16" s="7" t="s">
        <v>258</v>
      </c>
      <c r="G16" s="14" t="s">
        <v>324</v>
      </c>
      <c r="H16" s="4"/>
    </row>
    <row r="17" spans="1:8" ht="22" customHeight="1" x14ac:dyDescent="0.25">
      <c r="A17" s="2" t="s">
        <v>427</v>
      </c>
      <c r="B17" s="13" t="s">
        <v>74</v>
      </c>
      <c r="C17" s="2" t="s">
        <v>27</v>
      </c>
      <c r="D17" s="2" t="s">
        <v>36</v>
      </c>
      <c r="E17" s="2" t="s">
        <v>36</v>
      </c>
      <c r="F17" s="7" t="s">
        <v>258</v>
      </c>
      <c r="G17" s="6" t="s">
        <v>311</v>
      </c>
      <c r="H17" s="2" t="s">
        <v>415</v>
      </c>
    </row>
    <row r="18" spans="1:8" ht="22" customHeight="1" x14ac:dyDescent="0.25">
      <c r="A18" s="4" t="s">
        <v>428</v>
      </c>
      <c r="B18" s="11" t="s">
        <v>77</v>
      </c>
      <c r="C18" s="4" t="s">
        <v>27</v>
      </c>
      <c r="D18" s="4" t="s">
        <v>36</v>
      </c>
      <c r="E18" s="4" t="s">
        <v>36</v>
      </c>
      <c r="F18" s="7" t="s">
        <v>258</v>
      </c>
      <c r="G18" s="6" t="s">
        <v>311</v>
      </c>
      <c r="H18" s="4"/>
    </row>
    <row r="19" spans="1:8" ht="22" customHeight="1" x14ac:dyDescent="0.25">
      <c r="A19" s="2" t="s">
        <v>429</v>
      </c>
      <c r="B19" s="13" t="s">
        <v>92</v>
      </c>
      <c r="C19" s="2" t="s">
        <v>27</v>
      </c>
      <c r="D19" s="2" t="s">
        <v>36</v>
      </c>
      <c r="E19" s="2" t="s">
        <v>36</v>
      </c>
      <c r="F19" s="7" t="s">
        <v>258</v>
      </c>
      <c r="G19" s="6" t="s">
        <v>311</v>
      </c>
      <c r="H19" s="2"/>
    </row>
    <row r="20" spans="1:8" ht="22" customHeight="1" x14ac:dyDescent="0.25">
      <c r="A20" s="4" t="s">
        <v>430</v>
      </c>
      <c r="B20" s="11" t="s">
        <v>102</v>
      </c>
      <c r="C20" s="4" t="s">
        <v>27</v>
      </c>
      <c r="D20" s="4" t="s">
        <v>36</v>
      </c>
      <c r="E20" s="4" t="s">
        <v>36</v>
      </c>
      <c r="F20" s="7" t="s">
        <v>258</v>
      </c>
      <c r="G20" s="6" t="s">
        <v>311</v>
      </c>
      <c r="H20" s="4"/>
    </row>
    <row r="21" spans="1:8" ht="22" customHeight="1" x14ac:dyDescent="0.25">
      <c r="A21" s="2" t="s">
        <v>431</v>
      </c>
      <c r="B21" s="13" t="s">
        <v>109</v>
      </c>
      <c r="C21" s="2" t="s">
        <v>27</v>
      </c>
      <c r="D21" s="2" t="s">
        <v>36</v>
      </c>
      <c r="E21" s="2" t="s">
        <v>36</v>
      </c>
      <c r="F21" s="7" t="s">
        <v>258</v>
      </c>
      <c r="G21" s="6" t="s">
        <v>311</v>
      </c>
      <c r="H21" s="2"/>
    </row>
    <row r="22" spans="1:8" ht="22" customHeight="1" x14ac:dyDescent="0.25">
      <c r="A22" s="4" t="s">
        <v>304</v>
      </c>
      <c r="B22" s="11" t="s">
        <v>24</v>
      </c>
      <c r="C22" s="4" t="s">
        <v>27</v>
      </c>
      <c r="D22" s="4" t="s">
        <v>36</v>
      </c>
      <c r="E22" s="4" t="s">
        <v>432</v>
      </c>
      <c r="F22" s="10" t="s">
        <v>291</v>
      </c>
      <c r="G22" s="12" t="s">
        <v>306</v>
      </c>
      <c r="H22" s="4" t="s">
        <v>433</v>
      </c>
    </row>
    <row r="23" spans="1:8" ht="22" customHeight="1" x14ac:dyDescent="0.25">
      <c r="A23" s="2" t="s">
        <v>434</v>
      </c>
      <c r="B23" s="13" t="s">
        <v>29</v>
      </c>
      <c r="C23" s="2" t="s">
        <v>27</v>
      </c>
      <c r="D23" s="2" t="s">
        <v>36</v>
      </c>
      <c r="E23" s="2" t="s">
        <v>323</v>
      </c>
      <c r="F23" s="10" t="s">
        <v>291</v>
      </c>
      <c r="G23" s="12" t="s">
        <v>306</v>
      </c>
      <c r="H23" s="2" t="s">
        <v>435</v>
      </c>
    </row>
    <row r="24" spans="1:8" ht="22" customHeight="1" x14ac:dyDescent="0.25">
      <c r="A24" s="4" t="s">
        <v>436</v>
      </c>
      <c r="B24" s="11" t="s">
        <v>34</v>
      </c>
      <c r="C24" s="4" t="s">
        <v>27</v>
      </c>
      <c r="D24" s="4" t="s">
        <v>36</v>
      </c>
      <c r="E24" s="4" t="s">
        <v>36</v>
      </c>
      <c r="F24" s="10" t="s">
        <v>291</v>
      </c>
      <c r="G24" s="14" t="s">
        <v>324</v>
      </c>
      <c r="H24" s="4" t="s">
        <v>437</v>
      </c>
    </row>
    <row r="25" spans="1:8" ht="22" customHeight="1" x14ac:dyDescent="0.25">
      <c r="A25" s="2" t="s">
        <v>438</v>
      </c>
      <c r="B25" s="13" t="s">
        <v>39</v>
      </c>
      <c r="C25" s="2" t="s">
        <v>27</v>
      </c>
      <c r="D25" s="2" t="s">
        <v>36</v>
      </c>
      <c r="E25" s="2" t="s">
        <v>423</v>
      </c>
      <c r="F25" s="10" t="s">
        <v>291</v>
      </c>
      <c r="G25" s="14" t="s">
        <v>324</v>
      </c>
      <c r="H25" s="2" t="s">
        <v>439</v>
      </c>
    </row>
  </sheetData>
  <mergeCells count="2">
    <mergeCell ref="A2:H2"/>
    <mergeCell ref="A1:H1"/>
  </mergeCells>
  <phoneticPr fontId="19" type="noConversion"/>
  <hyperlinks>
    <hyperlink ref="B4" location="'1_标准物理量'!A4" display="pressure" xr:uid="{00000000-0004-0000-0700-000000000000}"/>
    <hyperlink ref="B5" location="'1_标准物理量'!A6" display="pressure_total" xr:uid="{00000000-0004-0000-0700-000001000000}"/>
    <hyperlink ref="B6" location="'1_标准物理量'!A7" display="pressure_coefficient" xr:uid="{00000000-0004-0000-0700-000002000000}"/>
    <hyperlink ref="B7" location="'1_标准物理量'!A14" display="density" xr:uid="{00000000-0004-0000-0700-000003000000}"/>
    <hyperlink ref="B8" location="'1_标准物理量'!A9" display="velocity_x" xr:uid="{00000000-0004-0000-0700-000004000000}"/>
    <hyperlink ref="B9" location="'1_标准物理量'!A10" display="velocity_y" xr:uid="{00000000-0004-0000-0700-000005000000}"/>
    <hyperlink ref="B10" location="'1_标准物理量'!A11" display="velocity_z" xr:uid="{00000000-0004-0000-0700-000006000000}"/>
    <hyperlink ref="B11" location="'1_标准物理量'!A12" display="velocity_magnitude" xr:uid="{00000000-0004-0000-0700-000007000000}"/>
    <hyperlink ref="B12" location="'1_标准物理量'!A13" display="mach_number" xr:uid="{00000000-0004-0000-0700-000008000000}"/>
    <hyperlink ref="B13" location="'1_标准物理量'!A16" display="temperature" xr:uid="{00000000-0004-0000-0700-000009000000}"/>
    <hyperlink ref="B14" location="'1_标准物理量'!A9" display="velocity_x" xr:uid="{00000000-0004-0000-0700-00000A000000}"/>
    <hyperlink ref="B15" location="'1_标准物理量'!A10" display="velocity_y" xr:uid="{00000000-0004-0000-0700-00000B000000}"/>
    <hyperlink ref="B16" location="'1_标准物理量'!A11" display="velocity_z" xr:uid="{00000000-0004-0000-0700-00000C000000}"/>
    <hyperlink ref="B17" location="'1_标准物理量'!A22" display="tke" xr:uid="{00000000-0004-0000-0700-00000D000000}"/>
    <hyperlink ref="B18" location="'1_标准物理量'!A23" display="tdr" xr:uid="{00000000-0004-0000-0700-00000E000000}"/>
    <hyperlink ref="B19" location="'1_标准物理量'!A28" display="wall_shear_stress" xr:uid="{00000000-0004-0000-0700-00000F000000}"/>
    <hyperlink ref="B20" location="'1_标准物理量'!A32" display="vorticity_x" xr:uid="{00000000-0004-0000-0700-000010000000}"/>
    <hyperlink ref="B21" location="'1_标准物理量'!A35" display="vorticity_magnitude" xr:uid="{00000000-0004-0000-0700-000011000000}"/>
    <hyperlink ref="B22" location="'1_标准物理量'!A4" display="pressure" xr:uid="{00000000-0004-0000-0700-000012000000}"/>
    <hyperlink ref="B23" location="'1_标准物理量'!A5" display="pressure_kinematic" xr:uid="{00000000-0004-0000-0700-000013000000}"/>
    <hyperlink ref="B24" location="'1_标准物理量'!A7" display="pressure_coefficient" xr:uid="{00000000-0004-0000-0700-000014000000}"/>
    <hyperlink ref="B25" location="'1_标准物理量'!A9" display="velocity_x" xr:uid="{00000000-0004-0000-0700-000015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4"/>
  <sheetViews>
    <sheetView showGridLines="0" workbookViewId="0"/>
  </sheetViews>
  <sheetFormatPr defaultRowHeight="14" x14ac:dyDescent="0.25"/>
  <cols>
    <col min="1" max="1" width="20" customWidth="1"/>
    <col min="2" max="3" width="26" customWidth="1"/>
    <col min="4" max="4" width="10" customWidth="1"/>
    <col min="5" max="5" width="16" customWidth="1"/>
    <col min="6" max="6" width="10" customWidth="1"/>
    <col min="7" max="7" width="14" customWidth="1"/>
    <col min="8" max="8" width="52" customWidth="1"/>
  </cols>
  <sheetData>
    <row r="1" spans="1:8" ht="34" customHeight="1" x14ac:dyDescent="0.25">
      <c r="A1" s="19" t="s">
        <v>440</v>
      </c>
      <c r="B1" s="20"/>
      <c r="C1" s="20"/>
      <c r="D1" s="20"/>
      <c r="E1" s="20"/>
      <c r="F1" s="20"/>
      <c r="G1" s="20"/>
      <c r="H1" s="20"/>
    </row>
    <row r="2" spans="1:8" ht="18" customHeight="1" x14ac:dyDescent="0.25">
      <c r="A2" s="28" t="s">
        <v>441</v>
      </c>
      <c r="B2" s="20"/>
      <c r="C2" s="20"/>
      <c r="D2" s="20"/>
      <c r="E2" s="20"/>
      <c r="F2" s="20"/>
      <c r="G2" s="20"/>
      <c r="H2" s="20"/>
    </row>
    <row r="3" spans="1:8" ht="28" customHeight="1" x14ac:dyDescent="0.25">
      <c r="A3" s="29" t="s">
        <v>442</v>
      </c>
      <c r="B3" s="20"/>
      <c r="C3" s="20"/>
      <c r="D3" s="20"/>
      <c r="E3" s="20"/>
      <c r="F3" s="20"/>
      <c r="G3" s="20"/>
      <c r="H3" s="20"/>
    </row>
    <row r="4" spans="1:8" ht="22" customHeight="1" x14ac:dyDescent="0.25">
      <c r="A4" s="3" t="s">
        <v>298</v>
      </c>
      <c r="B4" s="3" t="s">
        <v>443</v>
      </c>
      <c r="C4" s="3" t="s">
        <v>18</v>
      </c>
      <c r="D4" s="3" t="s">
        <v>299</v>
      </c>
      <c r="E4" s="3" t="s">
        <v>301</v>
      </c>
      <c r="F4" s="3" t="s">
        <v>254</v>
      </c>
      <c r="G4" s="3" t="s">
        <v>302</v>
      </c>
      <c r="H4" s="3" t="s">
        <v>303</v>
      </c>
    </row>
    <row r="5" spans="1:8" ht="22" customHeight="1" x14ac:dyDescent="0.25">
      <c r="A5" s="2" t="s">
        <v>334</v>
      </c>
      <c r="B5" s="15" t="s">
        <v>444</v>
      </c>
      <c r="C5" s="13" t="s">
        <v>34</v>
      </c>
      <c r="D5" s="2" t="s">
        <v>27</v>
      </c>
      <c r="E5" s="2" t="s">
        <v>36</v>
      </c>
      <c r="F5" s="7" t="s">
        <v>258</v>
      </c>
      <c r="G5" s="6" t="s">
        <v>311</v>
      </c>
      <c r="H5" s="2" t="s">
        <v>445</v>
      </c>
    </row>
    <row r="6" spans="1:8" ht="22" customHeight="1" x14ac:dyDescent="0.25">
      <c r="A6" s="4" t="s">
        <v>446</v>
      </c>
      <c r="B6" s="15" t="s">
        <v>444</v>
      </c>
      <c r="C6" s="11" t="s">
        <v>99</v>
      </c>
      <c r="D6" s="4" t="s">
        <v>27</v>
      </c>
      <c r="E6" s="4" t="s">
        <v>36</v>
      </c>
      <c r="F6" s="7" t="s">
        <v>258</v>
      </c>
      <c r="G6" s="6" t="s">
        <v>311</v>
      </c>
      <c r="H6" s="4"/>
    </row>
    <row r="7" spans="1:8" ht="22" customHeight="1" x14ac:dyDescent="0.25">
      <c r="A7" s="2" t="s">
        <v>447</v>
      </c>
      <c r="B7" s="15" t="s">
        <v>444</v>
      </c>
      <c r="C7" s="13" t="s">
        <v>96</v>
      </c>
      <c r="D7" s="2" t="s">
        <v>27</v>
      </c>
      <c r="E7" s="2" t="s">
        <v>36</v>
      </c>
      <c r="F7" s="7" t="s">
        <v>258</v>
      </c>
      <c r="G7" s="6" t="s">
        <v>311</v>
      </c>
      <c r="H7" s="2"/>
    </row>
    <row r="8" spans="1:8" ht="22" customHeight="1" x14ac:dyDescent="0.25">
      <c r="A8" s="4" t="s">
        <v>97</v>
      </c>
      <c r="B8" s="15" t="s">
        <v>444</v>
      </c>
      <c r="C8" s="11" t="s">
        <v>96</v>
      </c>
      <c r="D8" s="4" t="s">
        <v>27</v>
      </c>
      <c r="E8" s="4" t="s">
        <v>36</v>
      </c>
      <c r="F8" s="7" t="s">
        <v>258</v>
      </c>
      <c r="G8" s="6" t="s">
        <v>311</v>
      </c>
      <c r="H8" s="4"/>
    </row>
    <row r="9" spans="1:8" ht="22" customHeight="1" x14ac:dyDescent="0.25">
      <c r="A9" s="2" t="s">
        <v>421</v>
      </c>
      <c r="B9" s="15" t="s">
        <v>444</v>
      </c>
      <c r="C9" s="13" t="s">
        <v>49</v>
      </c>
      <c r="D9" s="2" t="s">
        <v>27</v>
      </c>
      <c r="E9" s="2" t="s">
        <v>36</v>
      </c>
      <c r="F9" s="7" t="s">
        <v>258</v>
      </c>
      <c r="G9" s="6" t="s">
        <v>311</v>
      </c>
      <c r="H9" s="2" t="s">
        <v>448</v>
      </c>
    </row>
    <row r="10" spans="1:8" ht="22" customHeight="1" x14ac:dyDescent="0.25">
      <c r="A10" s="4" t="s">
        <v>358</v>
      </c>
      <c r="B10" s="15" t="s">
        <v>444</v>
      </c>
      <c r="C10" s="11" t="s">
        <v>49</v>
      </c>
      <c r="D10" s="4" t="s">
        <v>27</v>
      </c>
      <c r="E10" s="4" t="s">
        <v>36</v>
      </c>
      <c r="F10" s="7" t="s">
        <v>258</v>
      </c>
      <c r="G10" s="6" t="s">
        <v>311</v>
      </c>
      <c r="H10" s="4"/>
    </row>
    <row r="11" spans="1:8" ht="22" customHeight="1" x14ac:dyDescent="0.25">
      <c r="A11" s="2" t="s">
        <v>24</v>
      </c>
      <c r="B11" s="15" t="s">
        <v>449</v>
      </c>
      <c r="C11" s="13" t="s">
        <v>24</v>
      </c>
      <c r="D11" s="2" t="s">
        <v>27</v>
      </c>
      <c r="E11" s="2" t="s">
        <v>450</v>
      </c>
      <c r="F11" s="7" t="s">
        <v>258</v>
      </c>
      <c r="G11" s="6" t="s">
        <v>311</v>
      </c>
      <c r="H11" s="2" t="s">
        <v>451</v>
      </c>
    </row>
    <row r="12" spans="1:8" ht="22" customHeight="1" x14ac:dyDescent="0.25">
      <c r="A12" s="4" t="s">
        <v>388</v>
      </c>
      <c r="B12" s="15" t="s">
        <v>452</v>
      </c>
      <c r="C12" s="11" t="s">
        <v>24</v>
      </c>
      <c r="D12" s="4" t="s">
        <v>27</v>
      </c>
      <c r="E12" s="4" t="s">
        <v>36</v>
      </c>
      <c r="F12" s="7" t="s">
        <v>258</v>
      </c>
      <c r="G12" s="6" t="s">
        <v>311</v>
      </c>
      <c r="H12" s="4" t="s">
        <v>453</v>
      </c>
    </row>
    <row r="13" spans="1:8" ht="22" customHeight="1" x14ac:dyDescent="0.25">
      <c r="A13" s="2" t="s">
        <v>304</v>
      </c>
      <c r="B13" s="15" t="s">
        <v>454</v>
      </c>
      <c r="C13" s="13" t="s">
        <v>29</v>
      </c>
      <c r="D13" s="2" t="s">
        <v>27</v>
      </c>
      <c r="E13" s="2" t="s">
        <v>323</v>
      </c>
      <c r="F13" s="9" t="s">
        <v>281</v>
      </c>
      <c r="G13" s="12" t="s">
        <v>306</v>
      </c>
      <c r="H13" s="2" t="s">
        <v>455</v>
      </c>
    </row>
    <row r="14" spans="1:8" ht="22" customHeight="1" x14ac:dyDescent="0.25">
      <c r="A14" s="4" t="s">
        <v>364</v>
      </c>
      <c r="B14" s="15" t="s">
        <v>449</v>
      </c>
      <c r="C14" s="11" t="s">
        <v>39</v>
      </c>
      <c r="D14" s="4" t="s">
        <v>27</v>
      </c>
      <c r="E14" s="4" t="s">
        <v>36</v>
      </c>
      <c r="F14" s="7" t="s">
        <v>258</v>
      </c>
      <c r="G14" s="6" t="s">
        <v>311</v>
      </c>
      <c r="H14" s="4" t="s">
        <v>456</v>
      </c>
    </row>
    <row r="15" spans="1:8" ht="22" customHeight="1" x14ac:dyDescent="0.25">
      <c r="A15" s="2" t="s">
        <v>391</v>
      </c>
      <c r="B15" s="15" t="s">
        <v>452</v>
      </c>
      <c r="C15" s="13" t="s">
        <v>39</v>
      </c>
      <c r="D15" s="2" t="s">
        <v>27</v>
      </c>
      <c r="E15" s="2" t="s">
        <v>36</v>
      </c>
      <c r="F15" s="7" t="s">
        <v>258</v>
      </c>
      <c r="G15" s="6" t="s">
        <v>311</v>
      </c>
      <c r="H15" s="2" t="s">
        <v>457</v>
      </c>
    </row>
    <row r="16" spans="1:8" ht="22" customHeight="1" x14ac:dyDescent="0.25">
      <c r="A16" s="4" t="s">
        <v>308</v>
      </c>
      <c r="B16" s="15" t="s">
        <v>454</v>
      </c>
      <c r="C16" s="11" t="s">
        <v>309</v>
      </c>
      <c r="D16" s="4" t="s">
        <v>68</v>
      </c>
      <c r="E16" s="4" t="s">
        <v>36</v>
      </c>
      <c r="F16" s="9" t="s">
        <v>281</v>
      </c>
      <c r="G16" s="14" t="s">
        <v>324</v>
      </c>
      <c r="H16" s="4" t="s">
        <v>458</v>
      </c>
    </row>
    <row r="17" spans="1:8" ht="22" customHeight="1" x14ac:dyDescent="0.25">
      <c r="A17" s="2" t="s">
        <v>372</v>
      </c>
      <c r="B17" s="15" t="s">
        <v>449</v>
      </c>
      <c r="C17" s="13" t="s">
        <v>74</v>
      </c>
      <c r="D17" s="2" t="s">
        <v>27</v>
      </c>
      <c r="E17" s="2" t="s">
        <v>36</v>
      </c>
      <c r="F17" s="7" t="s">
        <v>258</v>
      </c>
      <c r="G17" s="6" t="s">
        <v>311</v>
      </c>
      <c r="H17" s="2" t="s">
        <v>459</v>
      </c>
    </row>
    <row r="18" spans="1:8" ht="22" customHeight="1" x14ac:dyDescent="0.25">
      <c r="A18" s="4" t="s">
        <v>400</v>
      </c>
      <c r="B18" s="15" t="s">
        <v>452</v>
      </c>
      <c r="C18" s="11" t="s">
        <v>74</v>
      </c>
      <c r="D18" s="4" t="s">
        <v>27</v>
      </c>
      <c r="E18" s="4" t="s">
        <v>36</v>
      </c>
      <c r="F18" s="7" t="s">
        <v>258</v>
      </c>
      <c r="G18" s="6" t="s">
        <v>311</v>
      </c>
      <c r="H18" s="4" t="s">
        <v>460</v>
      </c>
    </row>
    <row r="19" spans="1:8" ht="22" customHeight="1" x14ac:dyDescent="0.25">
      <c r="A19" s="2" t="s">
        <v>313</v>
      </c>
      <c r="B19" s="15" t="s">
        <v>454</v>
      </c>
      <c r="C19" s="13" t="s">
        <v>74</v>
      </c>
      <c r="D19" s="2" t="s">
        <v>27</v>
      </c>
      <c r="E19" s="2" t="s">
        <v>36</v>
      </c>
      <c r="F19" s="9" t="s">
        <v>281</v>
      </c>
      <c r="G19" s="6" t="s">
        <v>311</v>
      </c>
      <c r="H19" s="2"/>
    </row>
    <row r="20" spans="1:8" ht="22" customHeight="1" x14ac:dyDescent="0.25">
      <c r="A20" s="4" t="s">
        <v>304</v>
      </c>
      <c r="B20" s="16" t="s">
        <v>461</v>
      </c>
      <c r="C20" s="11" t="s">
        <v>24</v>
      </c>
      <c r="D20" s="4" t="s">
        <v>27</v>
      </c>
      <c r="E20" s="4" t="s">
        <v>432</v>
      </c>
      <c r="F20" s="10" t="s">
        <v>291</v>
      </c>
      <c r="G20" s="12" t="s">
        <v>306</v>
      </c>
      <c r="H20" s="4" t="s">
        <v>462</v>
      </c>
    </row>
    <row r="21" spans="1:8" ht="22" customHeight="1" x14ac:dyDescent="0.25">
      <c r="A21" s="2" t="s">
        <v>463</v>
      </c>
      <c r="B21" s="16" t="s">
        <v>461</v>
      </c>
      <c r="C21" s="13" t="s">
        <v>24</v>
      </c>
      <c r="D21" s="2" t="s">
        <v>27</v>
      </c>
      <c r="E21" s="2" t="s">
        <v>432</v>
      </c>
      <c r="F21" s="10" t="s">
        <v>291</v>
      </c>
      <c r="G21" s="12" t="s">
        <v>306</v>
      </c>
      <c r="H21" s="2" t="s">
        <v>464</v>
      </c>
    </row>
    <row r="22" spans="1:8" ht="22" customHeight="1" x14ac:dyDescent="0.25">
      <c r="A22" s="4" t="s">
        <v>465</v>
      </c>
      <c r="B22" s="16" t="s">
        <v>461</v>
      </c>
      <c r="C22" s="11" t="s">
        <v>39</v>
      </c>
      <c r="D22" s="4" t="s">
        <v>27</v>
      </c>
      <c r="E22" s="4" t="s">
        <v>36</v>
      </c>
      <c r="F22" s="9" t="s">
        <v>281</v>
      </c>
      <c r="G22" s="6" t="s">
        <v>311</v>
      </c>
      <c r="H22" s="4" t="s">
        <v>466</v>
      </c>
    </row>
    <row r="23" spans="1:8" ht="22" customHeight="1" x14ac:dyDescent="0.25">
      <c r="A23" s="2" t="s">
        <v>467</v>
      </c>
      <c r="B23" s="16" t="s">
        <v>461</v>
      </c>
      <c r="C23" s="13" t="s">
        <v>43</v>
      </c>
      <c r="D23" s="2" t="s">
        <v>27</v>
      </c>
      <c r="E23" s="2" t="s">
        <v>36</v>
      </c>
      <c r="F23" s="9" t="s">
        <v>281</v>
      </c>
      <c r="G23" s="6" t="s">
        <v>311</v>
      </c>
      <c r="H23" s="2"/>
    </row>
    <row r="24" spans="1:8" ht="22" customHeight="1" x14ac:dyDescent="0.25">
      <c r="A24" s="4" t="s">
        <v>468</v>
      </c>
      <c r="B24" s="16" t="s">
        <v>461</v>
      </c>
      <c r="C24" s="11" t="s">
        <v>45</v>
      </c>
      <c r="D24" s="4" t="s">
        <v>27</v>
      </c>
      <c r="E24" s="4" t="s">
        <v>36</v>
      </c>
      <c r="F24" s="9" t="s">
        <v>281</v>
      </c>
      <c r="G24" s="6" t="s">
        <v>311</v>
      </c>
      <c r="H24" s="4"/>
    </row>
    <row r="25" spans="1:8" ht="22" customHeight="1" x14ac:dyDescent="0.25">
      <c r="A25" s="2" t="s">
        <v>328</v>
      </c>
      <c r="B25" s="16" t="s">
        <v>461</v>
      </c>
      <c r="C25" s="13" t="s">
        <v>51</v>
      </c>
      <c r="D25" s="2" t="s">
        <v>27</v>
      </c>
      <c r="E25" s="2" t="s">
        <v>36</v>
      </c>
      <c r="F25" s="9" t="s">
        <v>281</v>
      </c>
      <c r="G25" s="6" t="s">
        <v>311</v>
      </c>
      <c r="H25" s="2"/>
    </row>
    <row r="26" spans="1:8" ht="22" customHeight="1" x14ac:dyDescent="0.25">
      <c r="A26" s="4" t="s">
        <v>326</v>
      </c>
      <c r="B26" s="16" t="s">
        <v>461</v>
      </c>
      <c r="C26" s="11" t="s">
        <v>56</v>
      </c>
      <c r="D26" s="4" t="s">
        <v>27</v>
      </c>
      <c r="E26" s="4" t="s">
        <v>36</v>
      </c>
      <c r="F26" s="9" t="s">
        <v>281</v>
      </c>
      <c r="G26" s="6" t="s">
        <v>311</v>
      </c>
      <c r="H26" s="4"/>
    </row>
    <row r="27" spans="1:8" ht="22" customHeight="1" x14ac:dyDescent="0.25">
      <c r="A27" s="2" t="s">
        <v>313</v>
      </c>
      <c r="B27" s="16" t="s">
        <v>461</v>
      </c>
      <c r="C27" s="13" t="s">
        <v>74</v>
      </c>
      <c r="D27" s="2" t="s">
        <v>27</v>
      </c>
      <c r="E27" s="2" t="s">
        <v>36</v>
      </c>
      <c r="F27" s="9" t="s">
        <v>281</v>
      </c>
      <c r="G27" s="6" t="s">
        <v>311</v>
      </c>
      <c r="H27" s="2"/>
    </row>
    <row r="28" spans="1:8" ht="22" customHeight="1" x14ac:dyDescent="0.25">
      <c r="A28" s="4" t="s">
        <v>315</v>
      </c>
      <c r="B28" s="16" t="s">
        <v>461</v>
      </c>
      <c r="C28" s="11" t="s">
        <v>81</v>
      </c>
      <c r="D28" s="4" t="s">
        <v>27</v>
      </c>
      <c r="E28" s="4" t="s">
        <v>36</v>
      </c>
      <c r="F28" s="9" t="s">
        <v>281</v>
      </c>
      <c r="G28" s="6" t="s">
        <v>311</v>
      </c>
      <c r="H28" s="4"/>
    </row>
    <row r="29" spans="1:8" ht="22" customHeight="1" x14ac:dyDescent="0.25">
      <c r="A29" s="2" t="s">
        <v>317</v>
      </c>
      <c r="B29" s="16" t="s">
        <v>461</v>
      </c>
      <c r="C29" s="13" t="s">
        <v>77</v>
      </c>
      <c r="D29" s="2" t="s">
        <v>27</v>
      </c>
      <c r="E29" s="2" t="s">
        <v>36</v>
      </c>
      <c r="F29" s="9" t="s">
        <v>281</v>
      </c>
      <c r="G29" s="6" t="s">
        <v>311</v>
      </c>
      <c r="H29" s="2"/>
    </row>
    <row r="30" spans="1:8" ht="22" customHeight="1" x14ac:dyDescent="0.25">
      <c r="A30" s="4" t="s">
        <v>336</v>
      </c>
      <c r="B30" s="16" t="s">
        <v>461</v>
      </c>
      <c r="C30" s="11" t="s">
        <v>109</v>
      </c>
      <c r="D30" s="4" t="s">
        <v>27</v>
      </c>
      <c r="E30" s="4" t="s">
        <v>36</v>
      </c>
      <c r="F30" s="9" t="s">
        <v>281</v>
      </c>
      <c r="G30" s="6" t="s">
        <v>311</v>
      </c>
      <c r="H30" s="4"/>
    </row>
    <row r="31" spans="1:8" ht="22" customHeight="1" x14ac:dyDescent="0.25">
      <c r="A31" s="2" t="s">
        <v>339</v>
      </c>
      <c r="B31" s="16" t="s">
        <v>461</v>
      </c>
      <c r="C31" s="13" t="s">
        <v>111</v>
      </c>
      <c r="D31" s="2" t="s">
        <v>27</v>
      </c>
      <c r="E31" s="2" t="s">
        <v>36</v>
      </c>
      <c r="F31" s="9" t="s">
        <v>281</v>
      </c>
      <c r="G31" s="14" t="s">
        <v>324</v>
      </c>
      <c r="H31" s="2" t="s">
        <v>469</v>
      </c>
    </row>
    <row r="32" spans="1:8" ht="22" customHeight="1" x14ac:dyDescent="0.25">
      <c r="A32" s="4" t="s">
        <v>470</v>
      </c>
      <c r="B32" s="16" t="s">
        <v>461</v>
      </c>
      <c r="C32" s="11" t="s">
        <v>471</v>
      </c>
      <c r="D32" s="4" t="s">
        <v>27</v>
      </c>
      <c r="E32" s="4" t="s">
        <v>432</v>
      </c>
      <c r="F32" s="10" t="s">
        <v>291</v>
      </c>
      <c r="G32" s="12" t="s">
        <v>306</v>
      </c>
      <c r="H32" s="4" t="s">
        <v>472</v>
      </c>
    </row>
    <row r="33" spans="1:8" ht="22" customHeight="1" x14ac:dyDescent="0.25">
      <c r="A33" s="2" t="s">
        <v>473</v>
      </c>
      <c r="B33" s="16" t="s">
        <v>461</v>
      </c>
      <c r="C33" s="13" t="s">
        <v>474</v>
      </c>
      <c r="D33" s="2" t="s">
        <v>27</v>
      </c>
      <c r="E33" s="2" t="s">
        <v>432</v>
      </c>
      <c r="F33" s="10" t="s">
        <v>291</v>
      </c>
      <c r="G33" s="12" t="s">
        <v>306</v>
      </c>
      <c r="H33" s="2" t="s">
        <v>139</v>
      </c>
    </row>
    <row r="34" spans="1:8" ht="22" customHeight="1" x14ac:dyDescent="0.25">
      <c r="A34" s="4" t="s">
        <v>475</v>
      </c>
      <c r="B34" s="16" t="s">
        <v>461</v>
      </c>
      <c r="C34" s="11" t="s">
        <v>476</v>
      </c>
      <c r="D34" s="4" t="s">
        <v>27</v>
      </c>
      <c r="E34" s="4" t="s">
        <v>432</v>
      </c>
      <c r="F34" s="10" t="s">
        <v>291</v>
      </c>
      <c r="G34" s="12" t="s">
        <v>306</v>
      </c>
      <c r="H34" s="4" t="s">
        <v>139</v>
      </c>
    </row>
  </sheetData>
  <mergeCells count="3">
    <mergeCell ref="A3:H3"/>
    <mergeCell ref="A2:H2"/>
    <mergeCell ref="A1:H1"/>
  </mergeCells>
  <phoneticPr fontId="19" type="noConversion"/>
  <hyperlinks>
    <hyperlink ref="C5" location="'1_标准物理量'!A7" display="pressure_coefficient" xr:uid="{00000000-0004-0000-0800-000000000000}"/>
    <hyperlink ref="C6" location="'1_标准物理量'!A30" display="skin_friction_coeff" xr:uid="{00000000-0004-0000-0800-000001000000}"/>
    <hyperlink ref="C7" location="'1_标准物理量'!A29" display="y_plus" xr:uid="{00000000-0004-0000-0800-000002000000}"/>
    <hyperlink ref="C8" location="'1_标准物理量'!A29" display="y_plus" xr:uid="{00000000-0004-0000-0800-000003000000}"/>
    <hyperlink ref="C9" location="'1_标准物理量'!A13" display="mach_number" xr:uid="{00000000-0004-0000-0800-000004000000}"/>
    <hyperlink ref="C10" location="'1_标准物理量'!A13" display="mach_number" xr:uid="{00000000-0004-0000-0800-000005000000}"/>
    <hyperlink ref="C11" location="'1_标准物理量'!A4" display="pressure" xr:uid="{00000000-0004-0000-0800-000006000000}"/>
    <hyperlink ref="C12" location="'1_标准物理量'!A4" display="pressure" xr:uid="{00000000-0004-0000-0800-000007000000}"/>
    <hyperlink ref="C13" location="'1_标准物理量'!A5" display="pressure_kinematic" xr:uid="{00000000-0004-0000-0800-000008000000}"/>
    <hyperlink ref="C14" location="'1_标准物理量'!A9" display="velocity_x" xr:uid="{00000000-0004-0000-0800-000009000000}"/>
    <hyperlink ref="C15" location="'1_标准物理量'!A9" display="velocity_x" xr:uid="{00000000-0004-0000-0800-00000A000000}"/>
    <hyperlink ref="C16" location="'1_标准物理量'!A9" display="velocity_x/y/z" xr:uid="{00000000-0004-0000-0800-00000B000000}"/>
    <hyperlink ref="C17" location="'1_标准物理量'!A22" display="tke" xr:uid="{00000000-0004-0000-0800-00000C000000}"/>
    <hyperlink ref="C18" location="'1_标准物理量'!A22" display="tke" xr:uid="{00000000-0004-0000-0800-00000D000000}"/>
    <hyperlink ref="C19" location="'1_标准物理量'!A22" display="tke" xr:uid="{00000000-0004-0000-0800-00000E000000}"/>
    <hyperlink ref="C20" location="'1_标准物理量'!A4" display="pressure" xr:uid="{00000000-0004-0000-0800-00000F000000}"/>
    <hyperlink ref="C21" location="'1_标准物理量'!A4" display="pressure" xr:uid="{00000000-0004-0000-0800-000010000000}"/>
    <hyperlink ref="C22" location="'1_标准物理量'!A9" display="velocity_x" xr:uid="{00000000-0004-0000-0800-000011000000}"/>
    <hyperlink ref="C23" location="'1_标准物理量'!A10" display="velocity_y" xr:uid="{00000000-0004-0000-0800-000012000000}"/>
    <hyperlink ref="C24" location="'1_标准物理量'!A11" display="velocity_z" xr:uid="{00000000-0004-0000-0800-000013000000}"/>
    <hyperlink ref="C25" location="'1_标准物理量'!A14" display="density" xr:uid="{00000000-0004-0000-0800-000014000000}"/>
    <hyperlink ref="C26" location="'1_标准物理量'!A16" display="temperature" xr:uid="{00000000-0004-0000-0800-000015000000}"/>
    <hyperlink ref="C27" location="'1_标准物理量'!A22" display="tke" xr:uid="{00000000-0004-0000-0800-000016000000}"/>
    <hyperlink ref="C28" location="'1_标准物理量'!A24" display="sdr" xr:uid="{00000000-0004-0000-0800-000017000000}"/>
    <hyperlink ref="C29" location="'1_标准物理量'!A23" display="tdr" xr:uid="{00000000-0004-0000-0800-000018000000}"/>
    <hyperlink ref="C30" location="'1_标准物理量'!A35" display="vorticity_magnitude" xr:uid="{00000000-0004-0000-0800-000019000000}"/>
    <hyperlink ref="C31" location="'1_标准物理量'!A36" display="q_criterion" xr:uid="{00000000-0004-0000-0800-00001A000000}"/>
    <hyperlink ref="C32" location="'1_标准物理量'!A9" display="velocity_x 或 坐标" xr:uid="{00000000-0004-0000-0800-00001B000000}"/>
    <hyperlink ref="C33" location="'1_标准物理量'!A10" display="velocity_y 或 坐标" xr:uid="{00000000-0004-0000-0800-00001C000000}"/>
    <hyperlink ref="C34" location="'1_标准物理量'!A11" display="velocity_z 或 坐标" xr:uid="{00000000-0004-0000-0800-00001D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6"/>
  <sheetViews>
    <sheetView showGridLines="0" workbookViewId="0"/>
  </sheetViews>
  <sheetFormatPr defaultRowHeight="14" x14ac:dyDescent="0.25"/>
  <cols>
    <col min="1" max="2" width="26" customWidth="1"/>
    <col min="3" max="4" width="10" customWidth="1"/>
    <col min="5" max="5" width="20" customWidth="1"/>
    <col min="6" max="6" width="10" customWidth="1"/>
    <col min="7" max="7" width="14" customWidth="1"/>
    <col min="8" max="8" width="58" customWidth="1"/>
  </cols>
  <sheetData>
    <row r="1" spans="1:8" ht="34" customHeight="1" x14ac:dyDescent="0.25">
      <c r="A1" s="19" t="s">
        <v>477</v>
      </c>
      <c r="B1" s="20"/>
      <c r="C1" s="20"/>
      <c r="D1" s="20"/>
      <c r="E1" s="20"/>
      <c r="F1" s="20"/>
      <c r="G1" s="20"/>
      <c r="H1" s="20"/>
    </row>
    <row r="2" spans="1:8" ht="20" customHeight="1" x14ac:dyDescent="0.25">
      <c r="A2" s="28" t="s">
        <v>478</v>
      </c>
      <c r="B2" s="20"/>
      <c r="C2" s="20"/>
      <c r="D2" s="20"/>
      <c r="E2" s="20"/>
      <c r="F2" s="20"/>
      <c r="G2" s="20"/>
      <c r="H2" s="20"/>
    </row>
    <row r="3" spans="1:8" ht="22" customHeight="1" x14ac:dyDescent="0.25">
      <c r="A3" s="3" t="s">
        <v>298</v>
      </c>
      <c r="B3" s="3" t="s">
        <v>18</v>
      </c>
      <c r="C3" s="3" t="s">
        <v>299</v>
      </c>
      <c r="D3" s="3" t="s">
        <v>300</v>
      </c>
      <c r="E3" s="3" t="s">
        <v>301</v>
      </c>
      <c r="F3" s="3" t="s">
        <v>254</v>
      </c>
      <c r="G3" s="3" t="s">
        <v>302</v>
      </c>
      <c r="H3" s="3" t="s">
        <v>303</v>
      </c>
    </row>
    <row r="4" spans="1:8" ht="22" customHeight="1" x14ac:dyDescent="0.25">
      <c r="A4" s="4" t="s">
        <v>388</v>
      </c>
      <c r="B4" s="11" t="s">
        <v>24</v>
      </c>
      <c r="C4" s="4" t="s">
        <v>27</v>
      </c>
      <c r="D4" s="4" t="s">
        <v>36</v>
      </c>
      <c r="E4" s="4" t="s">
        <v>36</v>
      </c>
      <c r="F4" s="7" t="s">
        <v>258</v>
      </c>
      <c r="G4" s="6" t="s">
        <v>311</v>
      </c>
      <c r="H4" s="4" t="s">
        <v>479</v>
      </c>
    </row>
    <row r="5" spans="1:8" ht="22" customHeight="1" x14ac:dyDescent="0.25">
      <c r="A5" s="2" t="s">
        <v>390</v>
      </c>
      <c r="B5" s="13" t="s">
        <v>32</v>
      </c>
      <c r="C5" s="2" t="s">
        <v>27</v>
      </c>
      <c r="D5" s="2" t="s">
        <v>36</v>
      </c>
      <c r="E5" s="2" t="s">
        <v>36</v>
      </c>
      <c r="F5" s="7" t="s">
        <v>258</v>
      </c>
      <c r="G5" s="6" t="s">
        <v>311</v>
      </c>
      <c r="H5" s="2"/>
    </row>
    <row r="6" spans="1:8" ht="22" customHeight="1" x14ac:dyDescent="0.25">
      <c r="A6" s="4" t="s">
        <v>409</v>
      </c>
      <c r="B6" s="11" t="s">
        <v>34</v>
      </c>
      <c r="C6" s="4" t="s">
        <v>27</v>
      </c>
      <c r="D6" s="4" t="s">
        <v>36</v>
      </c>
      <c r="E6" s="4" t="s">
        <v>36</v>
      </c>
      <c r="F6" s="7" t="s">
        <v>258</v>
      </c>
      <c r="G6" s="6" t="s">
        <v>311</v>
      </c>
      <c r="H6" s="4" t="s">
        <v>480</v>
      </c>
    </row>
    <row r="7" spans="1:8" ht="22" customHeight="1" x14ac:dyDescent="0.25">
      <c r="A7" s="2" t="s">
        <v>481</v>
      </c>
      <c r="B7" s="13" t="s">
        <v>37</v>
      </c>
      <c r="C7" s="2" t="s">
        <v>27</v>
      </c>
      <c r="D7" s="2" t="s">
        <v>36</v>
      </c>
      <c r="E7" s="2" t="s">
        <v>36</v>
      </c>
      <c r="F7" s="7" t="s">
        <v>258</v>
      </c>
      <c r="G7" s="6" t="s">
        <v>311</v>
      </c>
      <c r="H7" s="2"/>
    </row>
    <row r="8" spans="1:8" ht="22" customHeight="1" x14ac:dyDescent="0.25">
      <c r="A8" s="4" t="s">
        <v>482</v>
      </c>
      <c r="B8" s="11" t="s">
        <v>39</v>
      </c>
      <c r="C8" s="4" t="s">
        <v>27</v>
      </c>
      <c r="D8" s="4" t="s">
        <v>470</v>
      </c>
      <c r="E8" s="4" t="s">
        <v>36</v>
      </c>
      <c r="F8" s="7" t="s">
        <v>258</v>
      </c>
      <c r="G8" s="6" t="s">
        <v>311</v>
      </c>
      <c r="H8" s="4" t="s">
        <v>483</v>
      </c>
    </row>
    <row r="9" spans="1:8" ht="22" customHeight="1" x14ac:dyDescent="0.25">
      <c r="A9" s="2" t="s">
        <v>484</v>
      </c>
      <c r="B9" s="13" t="s">
        <v>43</v>
      </c>
      <c r="C9" s="2" t="s">
        <v>27</v>
      </c>
      <c r="D9" s="2" t="s">
        <v>473</v>
      </c>
      <c r="E9" s="2" t="s">
        <v>36</v>
      </c>
      <c r="F9" s="7" t="s">
        <v>258</v>
      </c>
      <c r="G9" s="6" t="s">
        <v>311</v>
      </c>
      <c r="H9" s="2"/>
    </row>
    <row r="10" spans="1:8" ht="22" customHeight="1" x14ac:dyDescent="0.25">
      <c r="A10" s="4" t="s">
        <v>485</v>
      </c>
      <c r="B10" s="11" t="s">
        <v>45</v>
      </c>
      <c r="C10" s="4" t="s">
        <v>27</v>
      </c>
      <c r="D10" s="4" t="s">
        <v>475</v>
      </c>
      <c r="E10" s="4" t="s">
        <v>36</v>
      </c>
      <c r="F10" s="7" t="s">
        <v>258</v>
      </c>
      <c r="G10" s="6" t="s">
        <v>311</v>
      </c>
      <c r="H10" s="4"/>
    </row>
    <row r="11" spans="1:8" ht="22" customHeight="1" x14ac:dyDescent="0.25">
      <c r="A11" s="2" t="s">
        <v>486</v>
      </c>
      <c r="B11" s="13" t="s">
        <v>47</v>
      </c>
      <c r="C11" s="2" t="s">
        <v>27</v>
      </c>
      <c r="D11" s="2" t="s">
        <v>36</v>
      </c>
      <c r="E11" s="2" t="s">
        <v>36</v>
      </c>
      <c r="F11" s="7" t="s">
        <v>258</v>
      </c>
      <c r="G11" s="6" t="s">
        <v>311</v>
      </c>
      <c r="H11" s="2"/>
    </row>
    <row r="12" spans="1:8" ht="22" customHeight="1" x14ac:dyDescent="0.25">
      <c r="A12" s="4" t="s">
        <v>397</v>
      </c>
      <c r="B12" s="11" t="s">
        <v>56</v>
      </c>
      <c r="C12" s="4" t="s">
        <v>27</v>
      </c>
      <c r="D12" s="4" t="s">
        <v>36</v>
      </c>
      <c r="E12" s="4" t="s">
        <v>36</v>
      </c>
      <c r="F12" s="7" t="s">
        <v>258</v>
      </c>
      <c r="G12" s="6" t="s">
        <v>311</v>
      </c>
      <c r="H12" s="4"/>
    </row>
    <row r="13" spans="1:8" ht="22" customHeight="1" x14ac:dyDescent="0.25">
      <c r="A13" s="2" t="s">
        <v>398</v>
      </c>
      <c r="B13" s="13" t="s">
        <v>51</v>
      </c>
      <c r="C13" s="2" t="s">
        <v>27</v>
      </c>
      <c r="D13" s="2" t="s">
        <v>36</v>
      </c>
      <c r="E13" s="2" t="s">
        <v>36</v>
      </c>
      <c r="F13" s="7" t="s">
        <v>258</v>
      </c>
      <c r="G13" s="6" t="s">
        <v>311</v>
      </c>
      <c r="H13" s="2"/>
    </row>
    <row r="14" spans="1:8" ht="22" customHeight="1" x14ac:dyDescent="0.25">
      <c r="A14" s="4" t="s">
        <v>399</v>
      </c>
      <c r="B14" s="11" t="s">
        <v>49</v>
      </c>
      <c r="C14" s="4" t="s">
        <v>27</v>
      </c>
      <c r="D14" s="4" t="s">
        <v>36</v>
      </c>
      <c r="E14" s="4" t="s">
        <v>36</v>
      </c>
      <c r="F14" s="7" t="s">
        <v>258</v>
      </c>
      <c r="G14" s="6" t="s">
        <v>311</v>
      </c>
      <c r="H14" s="4"/>
    </row>
    <row r="15" spans="1:8" ht="22" customHeight="1" x14ac:dyDescent="0.25">
      <c r="A15" s="2" t="s">
        <v>487</v>
      </c>
      <c r="B15" s="13" t="s">
        <v>74</v>
      </c>
      <c r="C15" s="2" t="s">
        <v>27</v>
      </c>
      <c r="D15" s="2" t="s">
        <v>36</v>
      </c>
      <c r="E15" s="2" t="s">
        <v>36</v>
      </c>
      <c r="F15" s="7" t="s">
        <v>258</v>
      </c>
      <c r="G15" s="6" t="s">
        <v>311</v>
      </c>
      <c r="H15" s="2"/>
    </row>
    <row r="16" spans="1:8" ht="22" customHeight="1" x14ac:dyDescent="0.25">
      <c r="A16" s="4" t="s">
        <v>488</v>
      </c>
      <c r="B16" s="11" t="s">
        <v>77</v>
      </c>
      <c r="C16" s="4" t="s">
        <v>27</v>
      </c>
      <c r="D16" s="4" t="s">
        <v>36</v>
      </c>
      <c r="E16" s="4" t="s">
        <v>36</v>
      </c>
      <c r="F16" s="7" t="s">
        <v>258</v>
      </c>
      <c r="G16" s="6" t="s">
        <v>311</v>
      </c>
      <c r="H16" s="4" t="s">
        <v>374</v>
      </c>
    </row>
    <row r="17" spans="1:8" ht="22" customHeight="1" x14ac:dyDescent="0.25">
      <c r="A17" s="2" t="s">
        <v>489</v>
      </c>
      <c r="B17" s="13" t="s">
        <v>81</v>
      </c>
      <c r="C17" s="2" t="s">
        <v>27</v>
      </c>
      <c r="D17" s="2" t="s">
        <v>36</v>
      </c>
      <c r="E17" s="2" t="s">
        <v>36</v>
      </c>
      <c r="F17" s="7" t="s">
        <v>258</v>
      </c>
      <c r="G17" s="6" t="s">
        <v>311</v>
      </c>
      <c r="H17" s="2" t="s">
        <v>376</v>
      </c>
    </row>
    <row r="18" spans="1:8" ht="22" customHeight="1" x14ac:dyDescent="0.25">
      <c r="A18" s="4" t="s">
        <v>490</v>
      </c>
      <c r="B18" s="11" t="s">
        <v>85</v>
      </c>
      <c r="C18" s="4" t="s">
        <v>27</v>
      </c>
      <c r="D18" s="4" t="s">
        <v>36</v>
      </c>
      <c r="E18" s="4" t="s">
        <v>354</v>
      </c>
      <c r="F18" s="7" t="s">
        <v>258</v>
      </c>
      <c r="G18" s="14" t="s">
        <v>324</v>
      </c>
      <c r="H18" s="4" t="s">
        <v>491</v>
      </c>
    </row>
    <row r="19" spans="1:8" ht="22" customHeight="1" x14ac:dyDescent="0.25">
      <c r="A19" s="2" t="s">
        <v>492</v>
      </c>
      <c r="B19" s="13" t="s">
        <v>92</v>
      </c>
      <c r="C19" s="2" t="s">
        <v>27</v>
      </c>
      <c r="D19" s="2" t="s">
        <v>36</v>
      </c>
      <c r="E19" s="2" t="s">
        <v>36</v>
      </c>
      <c r="F19" s="7" t="s">
        <v>258</v>
      </c>
      <c r="G19" s="6" t="s">
        <v>311</v>
      </c>
      <c r="H19" s="2"/>
    </row>
    <row r="20" spans="1:8" ht="22" customHeight="1" x14ac:dyDescent="0.25">
      <c r="A20" s="4" t="s">
        <v>493</v>
      </c>
      <c r="B20" s="11" t="s">
        <v>96</v>
      </c>
      <c r="C20" s="4" t="s">
        <v>27</v>
      </c>
      <c r="D20" s="4" t="s">
        <v>36</v>
      </c>
      <c r="E20" s="4" t="s">
        <v>36</v>
      </c>
      <c r="F20" s="7" t="s">
        <v>258</v>
      </c>
      <c r="G20" s="6" t="s">
        <v>311</v>
      </c>
      <c r="H20" s="4"/>
    </row>
    <row r="21" spans="1:8" ht="22" customHeight="1" x14ac:dyDescent="0.25">
      <c r="A21" s="2" t="s">
        <v>494</v>
      </c>
      <c r="B21" s="13" t="s">
        <v>99</v>
      </c>
      <c r="C21" s="2" t="s">
        <v>27</v>
      </c>
      <c r="D21" s="2" t="s">
        <v>36</v>
      </c>
      <c r="E21" s="2" t="s">
        <v>36</v>
      </c>
      <c r="F21" s="7" t="s">
        <v>258</v>
      </c>
      <c r="G21" s="6" t="s">
        <v>311</v>
      </c>
      <c r="H21" s="2"/>
    </row>
    <row r="22" spans="1:8" ht="22" customHeight="1" x14ac:dyDescent="0.25">
      <c r="A22" s="4" t="s">
        <v>495</v>
      </c>
      <c r="B22" s="11" t="s">
        <v>109</v>
      </c>
      <c r="C22" s="4" t="s">
        <v>27</v>
      </c>
      <c r="D22" s="4" t="s">
        <v>36</v>
      </c>
      <c r="E22" s="4" t="s">
        <v>36</v>
      </c>
      <c r="F22" s="7" t="s">
        <v>258</v>
      </c>
      <c r="G22" s="6" t="s">
        <v>311</v>
      </c>
      <c r="H22" s="4"/>
    </row>
    <row r="23" spans="1:8" ht="22" customHeight="1" x14ac:dyDescent="0.25">
      <c r="A23" s="2" t="s">
        <v>496</v>
      </c>
      <c r="B23" s="13" t="s">
        <v>111</v>
      </c>
      <c r="C23" s="2" t="s">
        <v>27</v>
      </c>
      <c r="D23" s="2" t="s">
        <v>36</v>
      </c>
      <c r="E23" s="2" t="s">
        <v>36</v>
      </c>
      <c r="F23" s="7" t="s">
        <v>258</v>
      </c>
      <c r="G23" s="6" t="s">
        <v>311</v>
      </c>
      <c r="H23" s="2"/>
    </row>
    <row r="24" spans="1:8" ht="22" customHeight="1" x14ac:dyDescent="0.25">
      <c r="A24" s="4" t="s">
        <v>497</v>
      </c>
      <c r="B24" s="11" t="s">
        <v>47</v>
      </c>
      <c r="C24" s="4" t="s">
        <v>27</v>
      </c>
      <c r="D24" s="4" t="s">
        <v>36</v>
      </c>
      <c r="E24" s="4" t="s">
        <v>36</v>
      </c>
      <c r="F24" s="9" t="s">
        <v>281</v>
      </c>
      <c r="G24" s="14" t="s">
        <v>324</v>
      </c>
      <c r="H24" s="4" t="s">
        <v>498</v>
      </c>
    </row>
    <row r="25" spans="1:8" ht="22" customHeight="1" x14ac:dyDescent="0.25">
      <c r="A25" s="2" t="s">
        <v>499</v>
      </c>
      <c r="B25" s="13" t="s">
        <v>24</v>
      </c>
      <c r="C25" s="2" t="s">
        <v>27</v>
      </c>
      <c r="D25" s="2" t="s">
        <v>36</v>
      </c>
      <c r="E25" s="2" t="s">
        <v>36</v>
      </c>
      <c r="F25" s="7" t="s">
        <v>258</v>
      </c>
      <c r="G25" s="6" t="s">
        <v>311</v>
      </c>
      <c r="H25" s="2" t="s">
        <v>500</v>
      </c>
    </row>
    <row r="26" spans="1:8" ht="22" customHeight="1" x14ac:dyDescent="0.25">
      <c r="A26" s="4" t="s">
        <v>501</v>
      </c>
      <c r="B26" s="11" t="s">
        <v>24</v>
      </c>
      <c r="C26" s="4" t="s">
        <v>27</v>
      </c>
      <c r="D26" s="4" t="s">
        <v>36</v>
      </c>
      <c r="E26" s="4" t="s">
        <v>502</v>
      </c>
      <c r="F26" s="7" t="s">
        <v>258</v>
      </c>
      <c r="G26" s="14" t="s">
        <v>324</v>
      </c>
      <c r="H26" s="4" t="s">
        <v>503</v>
      </c>
    </row>
  </sheetData>
  <mergeCells count="2">
    <mergeCell ref="A2:H2"/>
    <mergeCell ref="A1:H1"/>
  </mergeCells>
  <phoneticPr fontId="19" type="noConversion"/>
  <hyperlinks>
    <hyperlink ref="B4" location="'1_标准物理量'!A4" display="pressure" xr:uid="{00000000-0004-0000-0900-000000000000}"/>
    <hyperlink ref="B5" location="'1_标准物理量'!A6" display="pressure_total" xr:uid="{00000000-0004-0000-0900-000001000000}"/>
    <hyperlink ref="B6" location="'1_标准物理量'!A7" display="pressure_coefficient" xr:uid="{00000000-0004-0000-0900-000002000000}"/>
    <hyperlink ref="B7" location="'1_标准物理量'!A8" display="pressure_dynamic" xr:uid="{00000000-0004-0000-0900-000003000000}"/>
    <hyperlink ref="B8" location="'1_标准物理量'!A9" display="velocity_x" xr:uid="{00000000-0004-0000-0900-000004000000}"/>
    <hyperlink ref="B9" location="'1_标准物理量'!A10" display="velocity_y" xr:uid="{00000000-0004-0000-0900-000005000000}"/>
    <hyperlink ref="B10" location="'1_标准物理量'!A11" display="velocity_z" xr:uid="{00000000-0004-0000-0900-000006000000}"/>
    <hyperlink ref="B11" location="'1_标准物理量'!A12" display="velocity_magnitude" xr:uid="{00000000-0004-0000-0900-000007000000}"/>
    <hyperlink ref="B12" location="'1_标准物理量'!A16" display="temperature" xr:uid="{00000000-0004-0000-0900-000008000000}"/>
    <hyperlink ref="B13" location="'1_标准物理量'!A14" display="density" xr:uid="{00000000-0004-0000-0900-000009000000}"/>
    <hyperlink ref="B14" location="'1_标准物理量'!A13" display="mach_number" xr:uid="{00000000-0004-0000-0900-00000A000000}"/>
    <hyperlink ref="B15" location="'1_标准物理量'!A22" display="tke" xr:uid="{00000000-0004-0000-0900-00000B000000}"/>
    <hyperlink ref="B16" location="'1_标准物理量'!A23" display="tdr" xr:uid="{00000000-0004-0000-0900-00000C000000}"/>
    <hyperlink ref="B17" location="'1_标准物理量'!A24" display="sdr" xr:uid="{00000000-0004-0000-0900-00000D000000}"/>
    <hyperlink ref="B18" location="'1_标准物理量'!A25" display="nut" xr:uid="{00000000-0004-0000-0900-00000E000000}"/>
    <hyperlink ref="B19" location="'1_标准物理量'!A28" display="wall_shear_stress" xr:uid="{00000000-0004-0000-0900-00000F000000}"/>
    <hyperlink ref="B20" location="'1_标准物理量'!A29" display="y_plus" xr:uid="{00000000-0004-0000-0900-000010000000}"/>
    <hyperlink ref="B21" location="'1_标准物理量'!A30" display="skin_friction_coeff" xr:uid="{00000000-0004-0000-0900-000011000000}"/>
    <hyperlink ref="B22" location="'1_标准物理量'!A35" display="vorticity_magnitude" xr:uid="{00000000-0004-0000-0900-000012000000}"/>
    <hyperlink ref="B23" location="'1_标准物理量'!A36" display="q_criterion" xr:uid="{00000000-0004-0000-0900-000013000000}"/>
    <hyperlink ref="B24" location="'1_标准物理量'!A12" display="velocity_magnitude" xr:uid="{00000000-0004-0000-0900-000014000000}"/>
    <hyperlink ref="B25" location="'1_标准物理量'!A4" display="pressure" xr:uid="{00000000-0004-0000-0900-000015000000}"/>
    <hyperlink ref="B26" location="'1_标准物理量'!A4" display="pressure" xr:uid="{00000000-0004-0000-0900-000016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9"/>
  <sheetViews>
    <sheetView showGridLines="0" workbookViewId="0"/>
  </sheetViews>
  <sheetFormatPr defaultRowHeight="14" x14ac:dyDescent="0.25"/>
  <cols>
    <col min="1" max="2" width="26" customWidth="1"/>
    <col min="3" max="4" width="10" customWidth="1"/>
    <col min="5" max="5" width="20" customWidth="1"/>
    <col min="6" max="6" width="10" customWidth="1"/>
    <col min="7" max="7" width="14" customWidth="1"/>
    <col min="8" max="8" width="58" customWidth="1"/>
  </cols>
  <sheetData>
    <row r="1" spans="1:8" ht="34" customHeight="1" x14ac:dyDescent="0.25">
      <c r="A1" s="19" t="s">
        <v>504</v>
      </c>
      <c r="B1" s="20"/>
      <c r="C1" s="20"/>
      <c r="D1" s="20"/>
      <c r="E1" s="20"/>
      <c r="F1" s="20"/>
      <c r="G1" s="20"/>
      <c r="H1" s="20"/>
    </row>
    <row r="2" spans="1:8" ht="20" customHeight="1" x14ac:dyDescent="0.25">
      <c r="A2" s="28" t="s">
        <v>505</v>
      </c>
      <c r="B2" s="20"/>
      <c r="C2" s="20"/>
      <c r="D2" s="20"/>
      <c r="E2" s="20"/>
      <c r="F2" s="20"/>
      <c r="G2" s="20"/>
      <c r="H2" s="20"/>
    </row>
    <row r="3" spans="1:8" ht="22" customHeight="1" x14ac:dyDescent="0.25">
      <c r="A3" s="3" t="s">
        <v>298</v>
      </c>
      <c r="B3" s="3" t="s">
        <v>18</v>
      </c>
      <c r="C3" s="3" t="s">
        <v>299</v>
      </c>
      <c r="D3" s="3" t="s">
        <v>300</v>
      </c>
      <c r="E3" s="3" t="s">
        <v>301</v>
      </c>
      <c r="F3" s="3" t="s">
        <v>254</v>
      </c>
      <c r="G3" s="3" t="s">
        <v>302</v>
      </c>
      <c r="H3" s="3" t="s">
        <v>303</v>
      </c>
    </row>
    <row r="4" spans="1:8" ht="22" customHeight="1" x14ac:dyDescent="0.25">
      <c r="A4" s="4" t="s">
        <v>308</v>
      </c>
      <c r="B4" s="4" t="s">
        <v>506</v>
      </c>
      <c r="C4" s="4" t="s">
        <v>68</v>
      </c>
      <c r="D4" s="4" t="s">
        <v>310</v>
      </c>
      <c r="E4" s="4" t="s">
        <v>36</v>
      </c>
      <c r="F4" s="7" t="s">
        <v>258</v>
      </c>
      <c r="G4" s="6" t="s">
        <v>311</v>
      </c>
      <c r="H4" s="4" t="s">
        <v>507</v>
      </c>
    </row>
    <row r="5" spans="1:8" ht="22" customHeight="1" x14ac:dyDescent="0.25">
      <c r="A5" s="2" t="s">
        <v>508</v>
      </c>
      <c r="B5" s="13" t="s">
        <v>116</v>
      </c>
      <c r="C5" s="2" t="s">
        <v>27</v>
      </c>
      <c r="D5" s="2" t="s">
        <v>470</v>
      </c>
      <c r="E5" s="2" t="s">
        <v>36</v>
      </c>
      <c r="F5" s="7" t="s">
        <v>258</v>
      </c>
      <c r="G5" s="6" t="s">
        <v>311</v>
      </c>
      <c r="H5" s="2" t="s">
        <v>509</v>
      </c>
    </row>
    <row r="6" spans="1:8" ht="22" customHeight="1" x14ac:dyDescent="0.25">
      <c r="A6" s="4" t="s">
        <v>510</v>
      </c>
      <c r="B6" s="11" t="s">
        <v>120</v>
      </c>
      <c r="C6" s="4" t="s">
        <v>27</v>
      </c>
      <c r="D6" s="4" t="s">
        <v>473</v>
      </c>
      <c r="E6" s="4" t="s">
        <v>36</v>
      </c>
      <c r="F6" s="7" t="s">
        <v>258</v>
      </c>
      <c r="G6" s="6" t="s">
        <v>311</v>
      </c>
      <c r="H6" s="4"/>
    </row>
    <row r="7" spans="1:8" ht="22" customHeight="1" x14ac:dyDescent="0.25">
      <c r="A7" s="2" t="s">
        <v>511</v>
      </c>
      <c r="B7" s="13" t="s">
        <v>122</v>
      </c>
      <c r="C7" s="2" t="s">
        <v>27</v>
      </c>
      <c r="D7" s="2" t="s">
        <v>475</v>
      </c>
      <c r="E7" s="2" t="s">
        <v>36</v>
      </c>
      <c r="F7" s="7" t="s">
        <v>258</v>
      </c>
      <c r="G7" s="6" t="s">
        <v>311</v>
      </c>
      <c r="H7" s="2"/>
    </row>
    <row r="8" spans="1:8" ht="22" customHeight="1" x14ac:dyDescent="0.25">
      <c r="A8" s="4" t="s">
        <v>512</v>
      </c>
      <c r="B8" s="11" t="s">
        <v>126</v>
      </c>
      <c r="C8" s="4" t="s">
        <v>27</v>
      </c>
      <c r="D8" s="4" t="s">
        <v>470</v>
      </c>
      <c r="E8" s="4" t="s">
        <v>36</v>
      </c>
      <c r="F8" s="7" t="s">
        <v>258</v>
      </c>
      <c r="G8" s="6" t="s">
        <v>311</v>
      </c>
      <c r="H8" s="4" t="s">
        <v>513</v>
      </c>
    </row>
    <row r="9" spans="1:8" ht="22" customHeight="1" x14ac:dyDescent="0.25">
      <c r="A9" s="2" t="s">
        <v>514</v>
      </c>
      <c r="B9" s="13" t="s">
        <v>130</v>
      </c>
      <c r="C9" s="2" t="s">
        <v>27</v>
      </c>
      <c r="D9" s="2" t="s">
        <v>473</v>
      </c>
      <c r="E9" s="2" t="s">
        <v>36</v>
      </c>
      <c r="F9" s="7" t="s">
        <v>258</v>
      </c>
      <c r="G9" s="6" t="s">
        <v>311</v>
      </c>
      <c r="H9" s="2"/>
    </row>
    <row r="10" spans="1:8" ht="22" customHeight="1" x14ac:dyDescent="0.25">
      <c r="A10" s="4" t="s">
        <v>515</v>
      </c>
      <c r="B10" s="11" t="s">
        <v>132</v>
      </c>
      <c r="C10" s="4" t="s">
        <v>27</v>
      </c>
      <c r="D10" s="4" t="s">
        <v>475</v>
      </c>
      <c r="E10" s="4" t="s">
        <v>36</v>
      </c>
      <c r="F10" s="7" t="s">
        <v>258</v>
      </c>
      <c r="G10" s="6" t="s">
        <v>311</v>
      </c>
      <c r="H10" s="4"/>
    </row>
    <row r="11" spans="1:8" ht="22" customHeight="1" x14ac:dyDescent="0.25">
      <c r="A11" s="2" t="s">
        <v>516</v>
      </c>
      <c r="B11" s="2" t="s">
        <v>517</v>
      </c>
      <c r="C11" s="2" t="s">
        <v>68</v>
      </c>
      <c r="D11" s="2" t="s">
        <v>310</v>
      </c>
      <c r="E11" s="2" t="s">
        <v>36</v>
      </c>
      <c r="F11" s="7" t="s">
        <v>258</v>
      </c>
      <c r="G11" s="12" t="s">
        <v>306</v>
      </c>
      <c r="H11" s="2" t="s">
        <v>518</v>
      </c>
    </row>
    <row r="12" spans="1:8" ht="22" customHeight="1" x14ac:dyDescent="0.25">
      <c r="A12" s="4" t="s">
        <v>519</v>
      </c>
      <c r="B12" s="11" t="s">
        <v>134</v>
      </c>
      <c r="C12" s="4" t="s">
        <v>27</v>
      </c>
      <c r="D12" s="4" t="s">
        <v>470</v>
      </c>
      <c r="E12" s="4" t="s">
        <v>36</v>
      </c>
      <c r="F12" s="7" t="s">
        <v>258</v>
      </c>
      <c r="G12" s="12" t="s">
        <v>306</v>
      </c>
      <c r="H12" s="4" t="s">
        <v>139</v>
      </c>
    </row>
    <row r="13" spans="1:8" ht="22" customHeight="1" x14ac:dyDescent="0.25">
      <c r="A13" s="2" t="s">
        <v>520</v>
      </c>
      <c r="B13" s="2" t="s">
        <v>521</v>
      </c>
      <c r="C13" s="2" t="s">
        <v>68</v>
      </c>
      <c r="D13" s="2" t="s">
        <v>310</v>
      </c>
      <c r="E13" s="2" t="s">
        <v>36</v>
      </c>
      <c r="F13" s="7" t="s">
        <v>258</v>
      </c>
      <c r="G13" s="6" t="s">
        <v>311</v>
      </c>
      <c r="H13" s="2" t="s">
        <v>522</v>
      </c>
    </row>
    <row r="14" spans="1:8" ht="22" customHeight="1" x14ac:dyDescent="0.25">
      <c r="A14" s="4" t="s">
        <v>523</v>
      </c>
      <c r="B14" s="11" t="s">
        <v>171</v>
      </c>
      <c r="C14" s="4" t="s">
        <v>524</v>
      </c>
      <c r="D14" s="4" t="s">
        <v>525</v>
      </c>
      <c r="E14" s="4" t="s">
        <v>36</v>
      </c>
      <c r="F14" s="7" t="s">
        <v>258</v>
      </c>
      <c r="G14" s="6" t="s">
        <v>311</v>
      </c>
      <c r="H14" s="4" t="s">
        <v>526</v>
      </c>
    </row>
    <row r="15" spans="1:8" ht="22" customHeight="1" x14ac:dyDescent="0.25">
      <c r="A15" s="2" t="s">
        <v>527</v>
      </c>
      <c r="B15" s="13" t="s">
        <v>151</v>
      </c>
      <c r="C15" s="2" t="s">
        <v>27</v>
      </c>
      <c r="D15" s="2" t="s">
        <v>36</v>
      </c>
      <c r="E15" s="2" t="s">
        <v>36</v>
      </c>
      <c r="F15" s="7" t="s">
        <v>258</v>
      </c>
      <c r="G15" s="6" t="s">
        <v>311</v>
      </c>
      <c r="H15" s="2" t="s">
        <v>528</v>
      </c>
    </row>
    <row r="16" spans="1:8" ht="22" customHeight="1" x14ac:dyDescent="0.25">
      <c r="A16" s="4" t="s">
        <v>529</v>
      </c>
      <c r="B16" s="11" t="s">
        <v>154</v>
      </c>
      <c r="C16" s="4" t="s">
        <v>27</v>
      </c>
      <c r="D16" s="4" t="s">
        <v>36</v>
      </c>
      <c r="E16" s="4" t="s">
        <v>36</v>
      </c>
      <c r="F16" s="7" t="s">
        <v>258</v>
      </c>
      <c r="G16" s="6" t="s">
        <v>311</v>
      </c>
      <c r="H16" s="4"/>
    </row>
    <row r="17" spans="1:8" ht="22" customHeight="1" x14ac:dyDescent="0.25">
      <c r="A17" s="2" t="s">
        <v>530</v>
      </c>
      <c r="B17" s="13" t="s">
        <v>156</v>
      </c>
      <c r="C17" s="2" t="s">
        <v>27</v>
      </c>
      <c r="D17" s="2" t="s">
        <v>36</v>
      </c>
      <c r="E17" s="2" t="s">
        <v>36</v>
      </c>
      <c r="F17" s="7" t="s">
        <v>258</v>
      </c>
      <c r="G17" s="6" t="s">
        <v>311</v>
      </c>
      <c r="H17" s="2"/>
    </row>
    <row r="18" spans="1:8" ht="22" customHeight="1" x14ac:dyDescent="0.25">
      <c r="A18" s="4" t="s">
        <v>531</v>
      </c>
      <c r="B18" s="11" t="s">
        <v>158</v>
      </c>
      <c r="C18" s="4" t="s">
        <v>27</v>
      </c>
      <c r="D18" s="4" t="s">
        <v>36</v>
      </c>
      <c r="E18" s="4" t="s">
        <v>36</v>
      </c>
      <c r="F18" s="7" t="s">
        <v>258</v>
      </c>
      <c r="G18" s="6" t="s">
        <v>311</v>
      </c>
      <c r="H18" s="4" t="s">
        <v>532</v>
      </c>
    </row>
    <row r="19" spans="1:8" ht="22" customHeight="1" x14ac:dyDescent="0.25">
      <c r="A19" s="2" t="s">
        <v>533</v>
      </c>
      <c r="B19" s="2" t="s">
        <v>534</v>
      </c>
      <c r="C19" s="2" t="s">
        <v>27</v>
      </c>
      <c r="D19" s="2" t="s">
        <v>36</v>
      </c>
      <c r="E19" s="2" t="s">
        <v>36</v>
      </c>
      <c r="F19" s="7" t="s">
        <v>258</v>
      </c>
      <c r="G19" s="6" t="s">
        <v>311</v>
      </c>
      <c r="H19" s="2"/>
    </row>
    <row r="20" spans="1:8" ht="22" customHeight="1" x14ac:dyDescent="0.25">
      <c r="A20" s="4" t="s">
        <v>535</v>
      </c>
      <c r="B20" s="11" t="s">
        <v>160</v>
      </c>
      <c r="C20" s="4" t="s">
        <v>27</v>
      </c>
      <c r="D20" s="4" t="s">
        <v>36</v>
      </c>
      <c r="E20" s="4" t="s">
        <v>36</v>
      </c>
      <c r="F20" s="7" t="s">
        <v>258</v>
      </c>
      <c r="G20" s="6" t="s">
        <v>311</v>
      </c>
      <c r="H20" s="4"/>
    </row>
    <row r="21" spans="1:8" ht="22" customHeight="1" x14ac:dyDescent="0.25">
      <c r="A21" s="2" t="s">
        <v>536</v>
      </c>
      <c r="B21" s="13" t="s">
        <v>164</v>
      </c>
      <c r="C21" s="2" t="s">
        <v>27</v>
      </c>
      <c r="D21" s="2" t="s">
        <v>36</v>
      </c>
      <c r="E21" s="2" t="s">
        <v>36</v>
      </c>
      <c r="F21" s="7" t="s">
        <v>258</v>
      </c>
      <c r="G21" s="6" t="s">
        <v>311</v>
      </c>
      <c r="H21" s="2" t="s">
        <v>537</v>
      </c>
    </row>
    <row r="22" spans="1:8" ht="22" customHeight="1" x14ac:dyDescent="0.25">
      <c r="A22" s="4" t="s">
        <v>538</v>
      </c>
      <c r="B22" s="11" t="s">
        <v>194</v>
      </c>
      <c r="C22" s="4" t="s">
        <v>27</v>
      </c>
      <c r="D22" s="4" t="s">
        <v>36</v>
      </c>
      <c r="E22" s="4" t="s">
        <v>36</v>
      </c>
      <c r="F22" s="7" t="s">
        <v>258</v>
      </c>
      <c r="G22" s="6" t="s">
        <v>311</v>
      </c>
      <c r="H22" s="4" t="s">
        <v>539</v>
      </c>
    </row>
    <row r="23" spans="1:8" ht="22" customHeight="1" x14ac:dyDescent="0.25">
      <c r="A23" s="2" t="s">
        <v>540</v>
      </c>
      <c r="B23" s="13" t="s">
        <v>169</v>
      </c>
      <c r="C23" s="2" t="s">
        <v>27</v>
      </c>
      <c r="D23" s="2" t="s">
        <v>36</v>
      </c>
      <c r="E23" s="2" t="s">
        <v>36</v>
      </c>
      <c r="F23" s="7" t="s">
        <v>258</v>
      </c>
      <c r="G23" s="14" t="s">
        <v>324</v>
      </c>
      <c r="H23" s="2" t="s">
        <v>541</v>
      </c>
    </row>
    <row r="24" spans="1:8" ht="22" customHeight="1" x14ac:dyDescent="0.25">
      <c r="A24" s="4" t="s">
        <v>542</v>
      </c>
      <c r="B24" s="11" t="s">
        <v>167</v>
      </c>
      <c r="C24" s="4" t="s">
        <v>27</v>
      </c>
      <c r="D24" s="4" t="s">
        <v>36</v>
      </c>
      <c r="E24" s="4" t="s">
        <v>36</v>
      </c>
      <c r="F24" s="7" t="s">
        <v>258</v>
      </c>
      <c r="G24" s="6" t="s">
        <v>311</v>
      </c>
      <c r="H24" s="4" t="s">
        <v>543</v>
      </c>
    </row>
    <row r="25" spans="1:8" ht="22" customHeight="1" x14ac:dyDescent="0.25">
      <c r="A25" s="2" t="s">
        <v>544</v>
      </c>
      <c r="B25" s="13" t="s">
        <v>185</v>
      </c>
      <c r="C25" s="2" t="s">
        <v>524</v>
      </c>
      <c r="D25" s="2" t="s">
        <v>545</v>
      </c>
      <c r="E25" s="2" t="s">
        <v>36</v>
      </c>
      <c r="F25" s="7" t="s">
        <v>258</v>
      </c>
      <c r="G25" s="6" t="s">
        <v>311</v>
      </c>
      <c r="H25" s="2" t="s">
        <v>546</v>
      </c>
    </row>
    <row r="26" spans="1:8" ht="22" customHeight="1" x14ac:dyDescent="0.25">
      <c r="A26" s="4" t="s">
        <v>547</v>
      </c>
      <c r="B26" s="11" t="s">
        <v>176</v>
      </c>
      <c r="C26" s="4" t="s">
        <v>27</v>
      </c>
      <c r="D26" s="4" t="s">
        <v>36</v>
      </c>
      <c r="E26" s="4" t="s">
        <v>36</v>
      </c>
      <c r="F26" s="7" t="s">
        <v>258</v>
      </c>
      <c r="G26" s="6" t="s">
        <v>311</v>
      </c>
      <c r="H26" s="4" t="s">
        <v>548</v>
      </c>
    </row>
    <row r="27" spans="1:8" ht="22" customHeight="1" x14ac:dyDescent="0.25">
      <c r="A27" s="2" t="s">
        <v>549</v>
      </c>
      <c r="B27" s="13" t="s">
        <v>188</v>
      </c>
      <c r="C27" s="2" t="s">
        <v>524</v>
      </c>
      <c r="D27" s="2" t="s">
        <v>36</v>
      </c>
      <c r="E27" s="2" t="s">
        <v>36</v>
      </c>
      <c r="F27" s="7" t="s">
        <v>258</v>
      </c>
      <c r="G27" s="6" t="s">
        <v>311</v>
      </c>
      <c r="H27" s="2" t="s">
        <v>550</v>
      </c>
    </row>
    <row r="28" spans="1:8" ht="22" customHeight="1" x14ac:dyDescent="0.25">
      <c r="A28" s="4" t="s">
        <v>551</v>
      </c>
      <c r="B28" s="11" t="s">
        <v>191</v>
      </c>
      <c r="C28" s="4" t="s">
        <v>524</v>
      </c>
      <c r="D28" s="4" t="s">
        <v>36</v>
      </c>
      <c r="E28" s="4" t="s">
        <v>36</v>
      </c>
      <c r="F28" s="7" t="s">
        <v>258</v>
      </c>
      <c r="G28" s="6" t="s">
        <v>311</v>
      </c>
      <c r="H28" s="4" t="s">
        <v>552</v>
      </c>
    </row>
    <row r="29" spans="1:8" ht="22" customHeight="1" x14ac:dyDescent="0.25">
      <c r="A29" s="2" t="s">
        <v>553</v>
      </c>
      <c r="B29" s="13" t="s">
        <v>197</v>
      </c>
      <c r="C29" s="2" t="s">
        <v>524</v>
      </c>
      <c r="D29" s="2" t="s">
        <v>36</v>
      </c>
      <c r="E29" s="2" t="s">
        <v>36</v>
      </c>
      <c r="F29" s="7" t="s">
        <v>258</v>
      </c>
      <c r="G29" s="6" t="s">
        <v>311</v>
      </c>
      <c r="H29" s="2" t="s">
        <v>554</v>
      </c>
    </row>
    <row r="30" spans="1:8" ht="22" customHeight="1" x14ac:dyDescent="0.25">
      <c r="A30" s="4" t="s">
        <v>555</v>
      </c>
      <c r="B30" s="11" t="s">
        <v>56</v>
      </c>
      <c r="C30" s="4" t="s">
        <v>27</v>
      </c>
      <c r="D30" s="4" t="s">
        <v>36</v>
      </c>
      <c r="E30" s="4" t="s">
        <v>36</v>
      </c>
      <c r="F30" s="7" t="s">
        <v>258</v>
      </c>
      <c r="G30" s="14" t="s">
        <v>324</v>
      </c>
      <c r="H30" s="4" t="s">
        <v>556</v>
      </c>
    </row>
    <row r="31" spans="1:8" ht="22" customHeight="1" x14ac:dyDescent="0.25">
      <c r="A31" s="2" t="s">
        <v>557</v>
      </c>
      <c r="B31" s="13" t="s">
        <v>56</v>
      </c>
      <c r="C31" s="2" t="s">
        <v>27</v>
      </c>
      <c r="D31" s="2" t="s">
        <v>36</v>
      </c>
      <c r="E31" s="2" t="s">
        <v>36</v>
      </c>
      <c r="F31" s="7" t="s">
        <v>258</v>
      </c>
      <c r="G31" s="14" t="s">
        <v>324</v>
      </c>
      <c r="H31" s="2" t="s">
        <v>558</v>
      </c>
    </row>
    <row r="32" spans="1:8" ht="22" customHeight="1" x14ac:dyDescent="0.25">
      <c r="A32" s="4" t="s">
        <v>559</v>
      </c>
      <c r="B32" s="11" t="s">
        <v>65</v>
      </c>
      <c r="C32" s="4" t="s">
        <v>68</v>
      </c>
      <c r="D32" s="4" t="s">
        <v>310</v>
      </c>
      <c r="E32" s="4" t="s">
        <v>36</v>
      </c>
      <c r="F32" s="7" t="s">
        <v>258</v>
      </c>
      <c r="G32" s="6" t="s">
        <v>311</v>
      </c>
      <c r="H32" s="4" t="s">
        <v>560</v>
      </c>
    </row>
    <row r="33" spans="1:8" ht="22" customHeight="1" x14ac:dyDescent="0.25">
      <c r="A33" s="2" t="s">
        <v>561</v>
      </c>
      <c r="B33" s="2" t="s">
        <v>562</v>
      </c>
      <c r="C33" s="2" t="s">
        <v>27</v>
      </c>
      <c r="D33" s="2" t="s">
        <v>470</v>
      </c>
      <c r="E33" s="2" t="s">
        <v>36</v>
      </c>
      <c r="F33" s="7" t="s">
        <v>258</v>
      </c>
      <c r="G33" s="6" t="s">
        <v>311</v>
      </c>
      <c r="H33" s="2"/>
    </row>
    <row r="34" spans="1:8" ht="22" customHeight="1" x14ac:dyDescent="0.25">
      <c r="A34" s="4" t="s">
        <v>563</v>
      </c>
      <c r="B34" s="11" t="s">
        <v>201</v>
      </c>
      <c r="C34" s="4" t="s">
        <v>27</v>
      </c>
      <c r="D34" s="4" t="s">
        <v>36</v>
      </c>
      <c r="E34" s="4" t="s">
        <v>36</v>
      </c>
      <c r="F34" s="7" t="s">
        <v>258</v>
      </c>
      <c r="G34" s="6" t="s">
        <v>311</v>
      </c>
      <c r="H34" s="4" t="s">
        <v>564</v>
      </c>
    </row>
    <row r="35" spans="1:8" ht="22" customHeight="1" x14ac:dyDescent="0.25">
      <c r="A35" s="2" t="s">
        <v>565</v>
      </c>
      <c r="B35" s="13" t="s">
        <v>204</v>
      </c>
      <c r="C35" s="2" t="s">
        <v>27</v>
      </c>
      <c r="D35" s="2" t="s">
        <v>36</v>
      </c>
      <c r="E35" s="2" t="s">
        <v>36</v>
      </c>
      <c r="F35" s="7" t="s">
        <v>258</v>
      </c>
      <c r="G35" s="6" t="s">
        <v>311</v>
      </c>
      <c r="H35" s="2" t="s">
        <v>566</v>
      </c>
    </row>
    <row r="36" spans="1:8" ht="22" customHeight="1" x14ac:dyDescent="0.25">
      <c r="A36" s="4" t="s">
        <v>567</v>
      </c>
      <c r="B36" s="11" t="s">
        <v>207</v>
      </c>
      <c r="C36" s="4" t="s">
        <v>27</v>
      </c>
      <c r="D36" s="4" t="s">
        <v>36</v>
      </c>
      <c r="E36" s="4" t="s">
        <v>36</v>
      </c>
      <c r="F36" s="7" t="s">
        <v>258</v>
      </c>
      <c r="G36" s="6" t="s">
        <v>311</v>
      </c>
      <c r="H36" s="4" t="s">
        <v>568</v>
      </c>
    </row>
    <row r="37" spans="1:8" ht="22" customHeight="1" x14ac:dyDescent="0.25">
      <c r="A37" s="2" t="s">
        <v>569</v>
      </c>
      <c r="B37" s="13" t="s">
        <v>222</v>
      </c>
      <c r="C37" s="2" t="s">
        <v>27</v>
      </c>
      <c r="D37" s="2" t="s">
        <v>36</v>
      </c>
      <c r="E37" s="2" t="s">
        <v>36</v>
      </c>
      <c r="F37" s="7" t="s">
        <v>258</v>
      </c>
      <c r="G37" s="6" t="s">
        <v>311</v>
      </c>
      <c r="H37" s="2" t="s">
        <v>570</v>
      </c>
    </row>
    <row r="38" spans="1:8" ht="22" customHeight="1" x14ac:dyDescent="0.25">
      <c r="A38" s="4" t="s">
        <v>571</v>
      </c>
      <c r="B38" s="11" t="s">
        <v>226</v>
      </c>
      <c r="C38" s="4" t="s">
        <v>27</v>
      </c>
      <c r="D38" s="4" t="s">
        <v>36</v>
      </c>
      <c r="E38" s="4" t="s">
        <v>36</v>
      </c>
      <c r="F38" s="7" t="s">
        <v>258</v>
      </c>
      <c r="G38" s="6" t="s">
        <v>311</v>
      </c>
      <c r="H38" s="4" t="s">
        <v>572</v>
      </c>
    </row>
    <row r="39" spans="1:8" ht="22" customHeight="1" x14ac:dyDescent="0.25">
      <c r="A39" s="2" t="s">
        <v>573</v>
      </c>
      <c r="B39" s="13" t="s">
        <v>238</v>
      </c>
      <c r="C39" s="2" t="s">
        <v>27</v>
      </c>
      <c r="D39" s="2" t="s">
        <v>36</v>
      </c>
      <c r="E39" s="2" t="s">
        <v>36</v>
      </c>
      <c r="F39" s="7" t="s">
        <v>258</v>
      </c>
      <c r="G39" s="6" t="s">
        <v>311</v>
      </c>
      <c r="H39" s="2" t="s">
        <v>574</v>
      </c>
    </row>
  </sheetData>
  <mergeCells count="2">
    <mergeCell ref="A2:H2"/>
    <mergeCell ref="A1:H1"/>
  </mergeCells>
  <phoneticPr fontId="19" type="noConversion"/>
  <hyperlinks>
    <hyperlink ref="B5" location="'1_标准物理量'!A38" display="displacement_x" xr:uid="{00000000-0004-0000-0A00-000000000000}"/>
    <hyperlink ref="B6" location="'1_标准物理量'!A39" display="displacement_y" xr:uid="{00000000-0004-0000-0A00-000001000000}"/>
    <hyperlink ref="B7" location="'1_标准物理量'!A40" display="displacement_z" xr:uid="{00000000-0004-0000-0A00-000002000000}"/>
    <hyperlink ref="B8" location="'1_标准物理量'!A42" display="rotation_x" xr:uid="{00000000-0004-0000-0A00-000003000000}"/>
    <hyperlink ref="B9" location="'1_标准物理量'!A43" display="rotation_y" xr:uid="{00000000-0004-0000-0A00-000004000000}"/>
    <hyperlink ref="B10" location="'1_标准物理量'!A44" display="rotation_z" xr:uid="{00000000-0004-0000-0A00-000005000000}"/>
    <hyperlink ref="B12" location="'1_标准物理量'!A45" display="velocity_structural_x" xr:uid="{00000000-0004-0000-0A00-000006000000}"/>
    <hyperlink ref="B14" location="'1_标准物理量'!A61" display="stress_tensor" xr:uid="{00000000-0004-0000-0A00-000007000000}"/>
    <hyperlink ref="B15" location="'1_标准物理量'!A52" display="stress_xx" xr:uid="{00000000-0004-0000-0A00-000008000000}"/>
    <hyperlink ref="B16" location="'1_标准物理量'!A53" display="stress_yy" xr:uid="{00000000-0004-0000-0A00-000009000000}"/>
    <hyperlink ref="B17" location="'1_标准物理量'!A54" display="stress_zz" xr:uid="{00000000-0004-0000-0A00-00000A000000}"/>
    <hyperlink ref="B18" location="'1_标准物理量'!A55" display="stress_xy" xr:uid="{00000000-0004-0000-0A00-00000B000000}"/>
    <hyperlink ref="B20" location="'1_标准物理量'!A56" display="stress_yz" xr:uid="{00000000-0004-0000-0A00-00000C000000}"/>
    <hyperlink ref="B21" location="'1_标准物理量'!A58" display="von_mises_stress" xr:uid="{00000000-0004-0000-0A00-00000D000000}"/>
    <hyperlink ref="B22" location="'1_标准物理量'!A70" display="equivalent_plastic_strain" xr:uid="{00000000-0004-0000-0A00-00000E000000}"/>
    <hyperlink ref="B23" location="'1_标准物理量'!A60" display="hydrostatic_pressure" xr:uid="{00000000-0004-0000-0A00-00000F000000}"/>
    <hyperlink ref="B24" location="'1_标准物理量'!A59" display="tresca_stress" xr:uid="{00000000-0004-0000-0A00-000010000000}"/>
    <hyperlink ref="B25" location="'1_标准物理量'!A67" display="strain_tensor" xr:uid="{00000000-0004-0000-0A00-000011000000}"/>
    <hyperlink ref="B26" location="'1_标准物理量'!A63" display="strain_xx" xr:uid="{00000000-0004-0000-0A00-000012000000}"/>
    <hyperlink ref="B27" location="'1_标准物理量'!A68" display="elastic_strain_tensor" xr:uid="{00000000-0004-0000-0A00-000013000000}"/>
    <hyperlink ref="B28" location="'1_标准物理量'!A69" display="plastic_strain_tensor" xr:uid="{00000000-0004-0000-0A00-000014000000}"/>
    <hyperlink ref="B29" location="'1_标准物理量'!A71" display="logarithmic_strain" xr:uid="{00000000-0004-0000-0A00-000015000000}"/>
    <hyperlink ref="B30" location="'1_标准物理量'!A16" display="temperature" xr:uid="{00000000-0004-0000-0A00-000016000000}"/>
    <hyperlink ref="B31" location="'1_标准物理量'!A16" display="temperature" xr:uid="{00000000-0004-0000-0A00-000017000000}"/>
    <hyperlink ref="B32" location="'1_标准物理量'!A19" display="heat_flux" xr:uid="{00000000-0004-0000-0A00-000018000000}"/>
    <hyperlink ref="B34" location="'1_标准物理量'!A73" display="contact_pressure" xr:uid="{00000000-0004-0000-0A00-000019000000}"/>
    <hyperlink ref="B35" location="'1_标准物理量'!A74" display="contact_shear" xr:uid="{00000000-0004-0000-0A00-00001A000000}"/>
    <hyperlink ref="B36" location="'1_标准物理量'!A75" display="contact_opening" xr:uid="{00000000-0004-0000-0A00-00001B000000}"/>
    <hyperlink ref="B37" location="'1_标准物理量'!A80" display="elastic_strain_energy" xr:uid="{00000000-0004-0000-0A00-00001C000000}"/>
    <hyperlink ref="B38" location="'1_标准物理量'!A81" display="plastic_dissipation" xr:uid="{00000000-0004-0000-0A00-00001D000000}"/>
    <hyperlink ref="B39" location="'1_标准物理量'!A85" display="natural_frequency" xr:uid="{00000000-0004-0000-0A00-00001E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6"/>
  <sheetViews>
    <sheetView showGridLines="0" workbookViewId="0">
      <selection sqref="A1:H1"/>
    </sheetView>
  </sheetViews>
  <sheetFormatPr defaultRowHeight="14" x14ac:dyDescent="0.25"/>
  <cols>
    <col min="1" max="2" width="26" customWidth="1"/>
    <col min="3" max="4" width="10" customWidth="1"/>
    <col min="5" max="5" width="20" customWidth="1"/>
    <col min="6" max="6" width="10" customWidth="1"/>
    <col min="7" max="7" width="14" customWidth="1"/>
    <col min="8" max="8" width="58" customWidth="1"/>
  </cols>
  <sheetData>
    <row r="1" spans="1:8" ht="34" customHeight="1" x14ac:dyDescent="0.25">
      <c r="A1" s="19" t="s">
        <v>575</v>
      </c>
      <c r="B1" s="20"/>
      <c r="C1" s="20"/>
      <c r="D1" s="20"/>
      <c r="E1" s="20"/>
      <c r="F1" s="20"/>
      <c r="G1" s="20"/>
      <c r="H1" s="20"/>
    </row>
    <row r="2" spans="1:8" ht="20" customHeight="1" x14ac:dyDescent="0.25">
      <c r="A2" s="28" t="s">
        <v>576</v>
      </c>
      <c r="B2" s="20"/>
      <c r="C2" s="20"/>
      <c r="D2" s="20"/>
      <c r="E2" s="20"/>
      <c r="F2" s="20"/>
      <c r="G2" s="20"/>
      <c r="H2" s="20"/>
    </row>
    <row r="3" spans="1:8" ht="22" customHeight="1" x14ac:dyDescent="0.25">
      <c r="A3" s="3" t="s">
        <v>298</v>
      </c>
      <c r="B3" s="3" t="s">
        <v>18</v>
      </c>
      <c r="C3" s="3" t="s">
        <v>299</v>
      </c>
      <c r="D3" s="3" t="s">
        <v>300</v>
      </c>
      <c r="E3" s="3" t="s">
        <v>301</v>
      </c>
      <c r="F3" s="3" t="s">
        <v>254</v>
      </c>
      <c r="G3" s="3" t="s">
        <v>302</v>
      </c>
      <c r="H3" s="3" t="s">
        <v>303</v>
      </c>
    </row>
    <row r="4" spans="1:8" ht="22" customHeight="1" x14ac:dyDescent="0.25">
      <c r="A4" s="4" t="s">
        <v>328</v>
      </c>
      <c r="B4" s="11" t="s">
        <v>51</v>
      </c>
      <c r="C4" s="4" t="s">
        <v>27</v>
      </c>
      <c r="D4" s="4" t="s">
        <v>36</v>
      </c>
      <c r="E4" s="4" t="s">
        <v>36</v>
      </c>
      <c r="F4" s="7" t="s">
        <v>258</v>
      </c>
      <c r="G4" s="6" t="s">
        <v>311</v>
      </c>
      <c r="H4" s="4" t="s">
        <v>577</v>
      </c>
    </row>
    <row r="5" spans="1:8" ht="22" customHeight="1" x14ac:dyDescent="0.25">
      <c r="A5" s="2" t="s">
        <v>578</v>
      </c>
      <c r="B5" s="13" t="s">
        <v>39</v>
      </c>
      <c r="C5" s="2" t="s">
        <v>27</v>
      </c>
      <c r="D5" s="2" t="s">
        <v>36</v>
      </c>
      <c r="E5" s="2" t="s">
        <v>579</v>
      </c>
      <c r="F5" s="7" t="s">
        <v>258</v>
      </c>
      <c r="G5" s="14" t="s">
        <v>324</v>
      </c>
      <c r="H5" s="2" t="s">
        <v>580</v>
      </c>
    </row>
    <row r="6" spans="1:8" ht="22" customHeight="1" x14ac:dyDescent="0.25">
      <c r="A6" s="4" t="s">
        <v>581</v>
      </c>
      <c r="B6" s="11" t="s">
        <v>43</v>
      </c>
      <c r="C6" s="4" t="s">
        <v>27</v>
      </c>
      <c r="D6" s="4" t="s">
        <v>36</v>
      </c>
      <c r="E6" s="4" t="s">
        <v>579</v>
      </c>
      <c r="F6" s="7" t="s">
        <v>258</v>
      </c>
      <c r="G6" s="14" t="s">
        <v>324</v>
      </c>
      <c r="H6" s="4" t="s">
        <v>582</v>
      </c>
    </row>
    <row r="7" spans="1:8" ht="22" customHeight="1" x14ac:dyDescent="0.25">
      <c r="A7" s="2" t="s">
        <v>583</v>
      </c>
      <c r="B7" s="13" t="s">
        <v>45</v>
      </c>
      <c r="C7" s="2" t="s">
        <v>27</v>
      </c>
      <c r="D7" s="2" t="s">
        <v>36</v>
      </c>
      <c r="E7" s="2" t="s">
        <v>579</v>
      </c>
      <c r="F7" s="7" t="s">
        <v>258</v>
      </c>
      <c r="G7" s="14" t="s">
        <v>324</v>
      </c>
      <c r="H7" s="2" t="s">
        <v>584</v>
      </c>
    </row>
    <row r="8" spans="1:8" ht="22" customHeight="1" x14ac:dyDescent="0.25">
      <c r="A8" s="4" t="s">
        <v>585</v>
      </c>
      <c r="B8" s="11" t="s">
        <v>60</v>
      </c>
      <c r="C8" s="4" t="s">
        <v>27</v>
      </c>
      <c r="D8" s="4" t="s">
        <v>36</v>
      </c>
      <c r="E8" s="4" t="s">
        <v>586</v>
      </c>
      <c r="F8" s="7" t="s">
        <v>258</v>
      </c>
      <c r="G8" s="14" t="s">
        <v>324</v>
      </c>
      <c r="H8" s="4" t="s">
        <v>587</v>
      </c>
    </row>
    <row r="9" spans="1:8" ht="22" customHeight="1" x14ac:dyDescent="0.25">
      <c r="A9" s="2" t="s">
        <v>304</v>
      </c>
      <c r="B9" s="13" t="s">
        <v>24</v>
      </c>
      <c r="C9" s="2" t="s">
        <v>27</v>
      </c>
      <c r="D9" s="2" t="s">
        <v>36</v>
      </c>
      <c r="E9" s="2" t="s">
        <v>36</v>
      </c>
      <c r="F9" s="7" t="s">
        <v>258</v>
      </c>
      <c r="G9" s="6" t="s">
        <v>311</v>
      </c>
      <c r="H9" s="2" t="s">
        <v>588</v>
      </c>
    </row>
    <row r="10" spans="1:8" ht="22" customHeight="1" x14ac:dyDescent="0.25">
      <c r="A10" s="4" t="s">
        <v>465</v>
      </c>
      <c r="B10" s="11" t="s">
        <v>39</v>
      </c>
      <c r="C10" s="4" t="s">
        <v>27</v>
      </c>
      <c r="D10" s="4" t="s">
        <v>36</v>
      </c>
      <c r="E10" s="4" t="s">
        <v>36</v>
      </c>
      <c r="F10" s="7" t="s">
        <v>258</v>
      </c>
      <c r="G10" s="6" t="s">
        <v>311</v>
      </c>
      <c r="H10" s="4" t="s">
        <v>589</v>
      </c>
    </row>
    <row r="11" spans="1:8" ht="22" customHeight="1" x14ac:dyDescent="0.25">
      <c r="A11" s="2" t="s">
        <v>467</v>
      </c>
      <c r="B11" s="13" t="s">
        <v>43</v>
      </c>
      <c r="C11" s="2" t="s">
        <v>27</v>
      </c>
      <c r="D11" s="2" t="s">
        <v>36</v>
      </c>
      <c r="E11" s="2" t="s">
        <v>36</v>
      </c>
      <c r="F11" s="7" t="s">
        <v>258</v>
      </c>
      <c r="G11" s="6" t="s">
        <v>311</v>
      </c>
      <c r="H11" s="2"/>
    </row>
    <row r="12" spans="1:8" ht="22" customHeight="1" x14ac:dyDescent="0.25">
      <c r="A12" s="4" t="s">
        <v>468</v>
      </c>
      <c r="B12" s="11" t="s">
        <v>45</v>
      </c>
      <c r="C12" s="4" t="s">
        <v>27</v>
      </c>
      <c r="D12" s="4" t="s">
        <v>36</v>
      </c>
      <c r="E12" s="4" t="s">
        <v>36</v>
      </c>
      <c r="F12" s="7" t="s">
        <v>258</v>
      </c>
      <c r="G12" s="6" t="s">
        <v>311</v>
      </c>
      <c r="H12" s="4"/>
    </row>
    <row r="13" spans="1:8" ht="22" customHeight="1" x14ac:dyDescent="0.25">
      <c r="A13" s="2" t="s">
        <v>326</v>
      </c>
      <c r="B13" s="13" t="s">
        <v>56</v>
      </c>
      <c r="C13" s="2" t="s">
        <v>27</v>
      </c>
      <c r="D13" s="2" t="s">
        <v>36</v>
      </c>
      <c r="E13" s="2" t="s">
        <v>36</v>
      </c>
      <c r="F13" s="7" t="s">
        <v>258</v>
      </c>
      <c r="G13" s="6" t="s">
        <v>311</v>
      </c>
      <c r="H13" s="2" t="s">
        <v>590</v>
      </c>
    </row>
    <row r="14" spans="1:8" ht="22" customHeight="1" x14ac:dyDescent="0.25">
      <c r="A14" s="4" t="s">
        <v>421</v>
      </c>
      <c r="B14" s="11" t="s">
        <v>49</v>
      </c>
      <c r="C14" s="4" t="s">
        <v>27</v>
      </c>
      <c r="D14" s="4" t="s">
        <v>36</v>
      </c>
      <c r="E14" s="4" t="s">
        <v>36</v>
      </c>
      <c r="F14" s="7" t="s">
        <v>258</v>
      </c>
      <c r="G14" s="6" t="s">
        <v>311</v>
      </c>
      <c r="H14" s="4"/>
    </row>
    <row r="15" spans="1:8" ht="22" customHeight="1" x14ac:dyDescent="0.25">
      <c r="A15" s="2" t="s">
        <v>334</v>
      </c>
      <c r="B15" s="13" t="s">
        <v>34</v>
      </c>
      <c r="C15" s="2" t="s">
        <v>27</v>
      </c>
      <c r="D15" s="2" t="s">
        <v>36</v>
      </c>
      <c r="E15" s="2" t="s">
        <v>36</v>
      </c>
      <c r="F15" s="7" t="s">
        <v>258</v>
      </c>
      <c r="G15" s="6" t="s">
        <v>311</v>
      </c>
      <c r="H15" s="2"/>
    </row>
    <row r="16" spans="1:8" ht="22" customHeight="1" x14ac:dyDescent="0.25">
      <c r="A16" s="4" t="s">
        <v>353</v>
      </c>
      <c r="B16" s="11" t="s">
        <v>85</v>
      </c>
      <c r="C16" s="4" t="s">
        <v>27</v>
      </c>
      <c r="D16" s="4" t="s">
        <v>36</v>
      </c>
      <c r="E16" s="4" t="s">
        <v>591</v>
      </c>
      <c r="F16" s="7" t="s">
        <v>258</v>
      </c>
      <c r="G16" s="14" t="s">
        <v>324</v>
      </c>
      <c r="H16" s="4" t="s">
        <v>592</v>
      </c>
    </row>
    <row r="17" spans="1:8" ht="22" customHeight="1" x14ac:dyDescent="0.25">
      <c r="A17" s="2" t="s">
        <v>313</v>
      </c>
      <c r="B17" s="13" t="s">
        <v>74</v>
      </c>
      <c r="C17" s="2" t="s">
        <v>27</v>
      </c>
      <c r="D17" s="2" t="s">
        <v>36</v>
      </c>
      <c r="E17" s="2" t="s">
        <v>36</v>
      </c>
      <c r="F17" s="7" t="s">
        <v>258</v>
      </c>
      <c r="G17" s="6" t="s">
        <v>311</v>
      </c>
      <c r="H17" s="2" t="s">
        <v>593</v>
      </c>
    </row>
    <row r="18" spans="1:8" ht="22" customHeight="1" x14ac:dyDescent="0.25">
      <c r="A18" s="4" t="s">
        <v>315</v>
      </c>
      <c r="B18" s="11" t="s">
        <v>81</v>
      </c>
      <c r="C18" s="4" t="s">
        <v>27</v>
      </c>
      <c r="D18" s="4" t="s">
        <v>36</v>
      </c>
      <c r="E18" s="4" t="s">
        <v>36</v>
      </c>
      <c r="F18" s="7" t="s">
        <v>258</v>
      </c>
      <c r="G18" s="6" t="s">
        <v>311</v>
      </c>
      <c r="H18" s="4" t="s">
        <v>594</v>
      </c>
    </row>
    <row r="19" spans="1:8" ht="22" customHeight="1" x14ac:dyDescent="0.25">
      <c r="A19" s="2" t="s">
        <v>317</v>
      </c>
      <c r="B19" s="13" t="s">
        <v>77</v>
      </c>
      <c r="C19" s="2" t="s">
        <v>27</v>
      </c>
      <c r="D19" s="2" t="s">
        <v>36</v>
      </c>
      <c r="E19" s="2" t="s">
        <v>36</v>
      </c>
      <c r="F19" s="7" t="s">
        <v>258</v>
      </c>
      <c r="G19" s="6" t="s">
        <v>311</v>
      </c>
      <c r="H19" s="2" t="s">
        <v>595</v>
      </c>
    </row>
    <row r="20" spans="1:8" ht="22" customHeight="1" x14ac:dyDescent="0.25">
      <c r="A20" s="4" t="s">
        <v>447</v>
      </c>
      <c r="B20" s="11" t="s">
        <v>96</v>
      </c>
      <c r="C20" s="4" t="s">
        <v>27</v>
      </c>
      <c r="D20" s="4" t="s">
        <v>36</v>
      </c>
      <c r="E20" s="4" t="s">
        <v>36</v>
      </c>
      <c r="F20" s="7" t="s">
        <v>258</v>
      </c>
      <c r="G20" s="6" t="s">
        <v>311</v>
      </c>
      <c r="H20" s="4"/>
    </row>
    <row r="21" spans="1:8" ht="22" customHeight="1" x14ac:dyDescent="0.25">
      <c r="A21" s="2" t="s">
        <v>596</v>
      </c>
      <c r="B21" s="13" t="s">
        <v>99</v>
      </c>
      <c r="C21" s="2" t="s">
        <v>27</v>
      </c>
      <c r="D21" s="2" t="s">
        <v>36</v>
      </c>
      <c r="E21" s="2" t="s">
        <v>36</v>
      </c>
      <c r="F21" s="7" t="s">
        <v>258</v>
      </c>
      <c r="G21" s="6" t="s">
        <v>311</v>
      </c>
      <c r="H21" s="2"/>
    </row>
    <row r="22" spans="1:8" ht="22" customHeight="1" x14ac:dyDescent="0.25">
      <c r="A22" s="4" t="s">
        <v>336</v>
      </c>
      <c r="B22" s="11" t="s">
        <v>109</v>
      </c>
      <c r="C22" s="4" t="s">
        <v>27</v>
      </c>
      <c r="D22" s="4" t="s">
        <v>36</v>
      </c>
      <c r="E22" s="4" t="s">
        <v>36</v>
      </c>
      <c r="F22" s="9" t="s">
        <v>281</v>
      </c>
      <c r="G22" s="6" t="s">
        <v>311</v>
      </c>
      <c r="H22" s="4" t="s">
        <v>597</v>
      </c>
    </row>
    <row r="23" spans="1:8" ht="22" customHeight="1" x14ac:dyDescent="0.25">
      <c r="A23" s="2" t="s">
        <v>339</v>
      </c>
      <c r="B23" s="13" t="s">
        <v>111</v>
      </c>
      <c r="C23" s="2" t="s">
        <v>27</v>
      </c>
      <c r="D23" s="2" t="s">
        <v>36</v>
      </c>
      <c r="E23" s="2" t="s">
        <v>36</v>
      </c>
      <c r="F23" s="9" t="s">
        <v>281</v>
      </c>
      <c r="G23" s="6" t="s">
        <v>311</v>
      </c>
      <c r="H23" s="2" t="s">
        <v>598</v>
      </c>
    </row>
    <row r="24" spans="1:8" ht="22" customHeight="1" x14ac:dyDescent="0.25">
      <c r="A24" s="4" t="s">
        <v>398</v>
      </c>
      <c r="B24" s="11" t="s">
        <v>51</v>
      </c>
      <c r="C24" s="4" t="s">
        <v>27</v>
      </c>
      <c r="D24" s="4" t="s">
        <v>36</v>
      </c>
      <c r="E24" s="4" t="s">
        <v>36</v>
      </c>
      <c r="F24" s="7" t="s">
        <v>258</v>
      </c>
      <c r="G24" s="6" t="s">
        <v>311</v>
      </c>
      <c r="H24" s="4" t="s">
        <v>599</v>
      </c>
    </row>
    <row r="25" spans="1:8" ht="22" customHeight="1" x14ac:dyDescent="0.25">
      <c r="A25" s="2" t="s">
        <v>422</v>
      </c>
      <c r="B25" s="13" t="s">
        <v>39</v>
      </c>
      <c r="C25" s="2" t="s">
        <v>27</v>
      </c>
      <c r="D25" s="2" t="s">
        <v>36</v>
      </c>
      <c r="E25" s="2" t="s">
        <v>579</v>
      </c>
      <c r="F25" s="7" t="s">
        <v>258</v>
      </c>
      <c r="G25" s="14" t="s">
        <v>324</v>
      </c>
      <c r="H25" s="2" t="s">
        <v>600</v>
      </c>
    </row>
    <row r="26" spans="1:8" ht="22" customHeight="1" x14ac:dyDescent="0.25">
      <c r="A26" s="4" t="s">
        <v>601</v>
      </c>
      <c r="B26" s="11" t="s">
        <v>60</v>
      </c>
      <c r="C26" s="4" t="s">
        <v>27</v>
      </c>
      <c r="D26" s="4" t="s">
        <v>36</v>
      </c>
      <c r="E26" s="4" t="s">
        <v>586</v>
      </c>
      <c r="F26" s="7" t="s">
        <v>258</v>
      </c>
      <c r="G26" s="14" t="s">
        <v>324</v>
      </c>
      <c r="H26" s="4" t="s">
        <v>602</v>
      </c>
    </row>
  </sheetData>
  <mergeCells count="2">
    <mergeCell ref="A2:H2"/>
    <mergeCell ref="A1:H1"/>
  </mergeCells>
  <phoneticPr fontId="19" type="noConversion"/>
  <hyperlinks>
    <hyperlink ref="B4" location="'1_标准物理量'!A14" display="density" xr:uid="{00000000-0004-0000-0B00-000000000000}"/>
    <hyperlink ref="B5" location="'1_标准物理量'!A9" display="velocity_x" xr:uid="{00000000-0004-0000-0B00-000001000000}"/>
    <hyperlink ref="B6" location="'1_标准物理量'!A10" display="velocity_y" xr:uid="{00000000-0004-0000-0B00-000002000000}"/>
    <hyperlink ref="B7" location="'1_标准物理量'!A11" display="velocity_z" xr:uid="{00000000-0004-0000-0B00-000003000000}"/>
    <hyperlink ref="B8" location="'1_标准物理量'!A17" display="total_energy" xr:uid="{00000000-0004-0000-0B00-000004000000}"/>
    <hyperlink ref="B9" location="'1_标准物理量'!A4" display="pressure" xr:uid="{00000000-0004-0000-0B00-000005000000}"/>
    <hyperlink ref="B10" location="'1_标准物理量'!A9" display="velocity_x" xr:uid="{00000000-0004-0000-0B00-000006000000}"/>
    <hyperlink ref="B11" location="'1_标准物理量'!A10" display="velocity_y" xr:uid="{00000000-0004-0000-0B00-000007000000}"/>
    <hyperlink ref="B12" location="'1_标准物理量'!A11" display="velocity_z" xr:uid="{00000000-0004-0000-0B00-000008000000}"/>
    <hyperlink ref="B13" location="'1_标准物理量'!A16" display="temperature" xr:uid="{00000000-0004-0000-0B00-000009000000}"/>
    <hyperlink ref="B14" location="'1_标准物理量'!A13" display="mach_number" xr:uid="{00000000-0004-0000-0B00-00000A000000}"/>
    <hyperlink ref="B15" location="'1_标准物理量'!A7" display="pressure_coefficient" xr:uid="{00000000-0004-0000-0B00-00000B000000}"/>
    <hyperlink ref="B16" location="'1_标准物理量'!A25" display="nut" xr:uid="{00000000-0004-0000-0B00-00000C000000}"/>
    <hyperlink ref="B17" location="'1_标准物理量'!A22" display="tke" xr:uid="{00000000-0004-0000-0B00-00000D000000}"/>
    <hyperlink ref="B18" location="'1_标准物理量'!A24" display="sdr" xr:uid="{00000000-0004-0000-0B00-00000E000000}"/>
    <hyperlink ref="B19" location="'1_标准物理量'!A23" display="tdr" xr:uid="{00000000-0004-0000-0B00-00000F000000}"/>
    <hyperlink ref="B20" location="'1_标准物理量'!A29" display="y_plus" xr:uid="{00000000-0004-0000-0B00-000010000000}"/>
    <hyperlink ref="B21" location="'1_标准物理量'!A30" display="skin_friction_coeff" xr:uid="{00000000-0004-0000-0B00-000011000000}"/>
    <hyperlink ref="B22" location="'1_标准物理量'!A35" display="vorticity_magnitude" xr:uid="{00000000-0004-0000-0B00-000012000000}"/>
    <hyperlink ref="B23" location="'1_标准物理量'!A36" display="q_criterion" xr:uid="{00000000-0004-0000-0B00-000013000000}"/>
    <hyperlink ref="B24" location="'1_标准物理量'!A14" display="density" xr:uid="{00000000-0004-0000-0B00-000014000000}"/>
    <hyperlink ref="B25" location="'1_标准物理量'!A9" display="velocity_x" xr:uid="{00000000-0004-0000-0B00-000015000000}"/>
    <hyperlink ref="B26" location="'1_标准物理量'!A17" display="total_energy" xr:uid="{00000000-0004-0000-0B00-000016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2"/>
  <sheetViews>
    <sheetView showGridLines="0" workbookViewId="0">
      <selection sqref="A1:H1"/>
    </sheetView>
  </sheetViews>
  <sheetFormatPr defaultRowHeight="14" x14ac:dyDescent="0.25"/>
  <cols>
    <col min="1" max="2" width="26" customWidth="1"/>
    <col min="3" max="4" width="10" customWidth="1"/>
    <col min="5" max="5" width="20" customWidth="1"/>
    <col min="6" max="6" width="10" customWidth="1"/>
    <col min="7" max="7" width="14" customWidth="1"/>
    <col min="8" max="8" width="58" customWidth="1"/>
  </cols>
  <sheetData>
    <row r="1" spans="1:8" ht="34" customHeight="1" x14ac:dyDescent="0.25">
      <c r="A1" s="19" t="s">
        <v>603</v>
      </c>
      <c r="B1" s="20"/>
      <c r="C1" s="20"/>
      <c r="D1" s="20"/>
      <c r="E1" s="20"/>
      <c r="F1" s="20"/>
      <c r="G1" s="20"/>
      <c r="H1" s="20"/>
    </row>
    <row r="2" spans="1:8" ht="20" customHeight="1" x14ac:dyDescent="0.25">
      <c r="A2" s="28" t="s">
        <v>604</v>
      </c>
      <c r="B2" s="20"/>
      <c r="C2" s="20"/>
      <c r="D2" s="20"/>
      <c r="E2" s="20"/>
      <c r="F2" s="20"/>
      <c r="G2" s="20"/>
      <c r="H2" s="20"/>
    </row>
    <row r="3" spans="1:8" ht="22" customHeight="1" x14ac:dyDescent="0.25">
      <c r="A3" s="3" t="s">
        <v>298</v>
      </c>
      <c r="B3" s="3" t="s">
        <v>18</v>
      </c>
      <c r="C3" s="3" t="s">
        <v>299</v>
      </c>
      <c r="D3" s="3" t="s">
        <v>300</v>
      </c>
      <c r="E3" s="3" t="s">
        <v>301</v>
      </c>
      <c r="F3" s="3" t="s">
        <v>254</v>
      </c>
      <c r="G3" s="3" t="s">
        <v>302</v>
      </c>
      <c r="H3" s="3" t="s">
        <v>303</v>
      </c>
    </row>
    <row r="4" spans="1:8" ht="22" customHeight="1" x14ac:dyDescent="0.25">
      <c r="A4" s="4" t="s">
        <v>605</v>
      </c>
      <c r="B4" s="11" t="s">
        <v>116</v>
      </c>
      <c r="C4" s="4" t="s">
        <v>27</v>
      </c>
      <c r="D4" s="4" t="s">
        <v>470</v>
      </c>
      <c r="E4" s="4" t="s">
        <v>36</v>
      </c>
      <c r="F4" s="7" t="s">
        <v>258</v>
      </c>
      <c r="G4" s="6" t="s">
        <v>311</v>
      </c>
      <c r="H4" s="4" t="s">
        <v>606</v>
      </c>
    </row>
    <row r="5" spans="1:8" ht="22" customHeight="1" x14ac:dyDescent="0.25">
      <c r="A5" s="2" t="s">
        <v>607</v>
      </c>
      <c r="B5" s="13" t="s">
        <v>120</v>
      </c>
      <c r="C5" s="2" t="s">
        <v>27</v>
      </c>
      <c r="D5" s="2" t="s">
        <v>473</v>
      </c>
      <c r="E5" s="2" t="s">
        <v>36</v>
      </c>
      <c r="F5" s="7" t="s">
        <v>258</v>
      </c>
      <c r="G5" s="6" t="s">
        <v>311</v>
      </c>
      <c r="H5" s="2"/>
    </row>
    <row r="6" spans="1:8" ht="22" customHeight="1" x14ac:dyDescent="0.25">
      <c r="A6" s="4" t="s">
        <v>608</v>
      </c>
      <c r="B6" s="11" t="s">
        <v>122</v>
      </c>
      <c r="C6" s="4" t="s">
        <v>27</v>
      </c>
      <c r="D6" s="4" t="s">
        <v>475</v>
      </c>
      <c r="E6" s="4" t="s">
        <v>36</v>
      </c>
      <c r="F6" s="7" t="s">
        <v>258</v>
      </c>
      <c r="G6" s="6" t="s">
        <v>311</v>
      </c>
      <c r="H6" s="4"/>
    </row>
    <row r="7" spans="1:8" ht="22" customHeight="1" x14ac:dyDescent="0.25">
      <c r="A7" s="2" t="s">
        <v>609</v>
      </c>
      <c r="B7" s="13" t="s">
        <v>134</v>
      </c>
      <c r="C7" s="2" t="s">
        <v>27</v>
      </c>
      <c r="D7" s="2" t="s">
        <v>470</v>
      </c>
      <c r="E7" s="2" t="s">
        <v>36</v>
      </c>
      <c r="F7" s="7" t="s">
        <v>258</v>
      </c>
      <c r="G7" s="12" t="s">
        <v>306</v>
      </c>
      <c r="H7" s="2" t="s">
        <v>610</v>
      </c>
    </row>
    <row r="8" spans="1:8" ht="22" customHeight="1" x14ac:dyDescent="0.25">
      <c r="A8" s="4" t="s">
        <v>611</v>
      </c>
      <c r="B8" s="11" t="s">
        <v>137</v>
      </c>
      <c r="C8" s="4" t="s">
        <v>27</v>
      </c>
      <c r="D8" s="4" t="s">
        <v>473</v>
      </c>
      <c r="E8" s="4" t="s">
        <v>36</v>
      </c>
      <c r="F8" s="7" t="s">
        <v>258</v>
      </c>
      <c r="G8" s="12" t="s">
        <v>306</v>
      </c>
      <c r="H8" s="4" t="s">
        <v>139</v>
      </c>
    </row>
    <row r="9" spans="1:8" ht="22" customHeight="1" x14ac:dyDescent="0.25">
      <c r="A9" s="2" t="s">
        <v>612</v>
      </c>
      <c r="B9" s="13" t="s">
        <v>140</v>
      </c>
      <c r="C9" s="2" t="s">
        <v>27</v>
      </c>
      <c r="D9" s="2" t="s">
        <v>475</v>
      </c>
      <c r="E9" s="2" t="s">
        <v>36</v>
      </c>
      <c r="F9" s="7" t="s">
        <v>258</v>
      </c>
      <c r="G9" s="12" t="s">
        <v>306</v>
      </c>
      <c r="H9" s="2" t="s">
        <v>139</v>
      </c>
    </row>
    <row r="10" spans="1:8" ht="22" customHeight="1" x14ac:dyDescent="0.25">
      <c r="A10" s="4" t="s">
        <v>613</v>
      </c>
      <c r="B10" s="11" t="s">
        <v>142</v>
      </c>
      <c r="C10" s="4" t="s">
        <v>27</v>
      </c>
      <c r="D10" s="4" t="s">
        <v>470</v>
      </c>
      <c r="E10" s="4" t="s">
        <v>36</v>
      </c>
      <c r="F10" s="7" t="s">
        <v>258</v>
      </c>
      <c r="G10" s="6" t="s">
        <v>311</v>
      </c>
      <c r="H10" s="4" t="s">
        <v>522</v>
      </c>
    </row>
    <row r="11" spans="1:8" ht="22" customHeight="1" x14ac:dyDescent="0.25">
      <c r="A11" s="2" t="s">
        <v>614</v>
      </c>
      <c r="B11" s="13" t="s">
        <v>146</v>
      </c>
      <c r="C11" s="2" t="s">
        <v>27</v>
      </c>
      <c r="D11" s="2" t="s">
        <v>473</v>
      </c>
      <c r="E11" s="2" t="s">
        <v>36</v>
      </c>
      <c r="F11" s="7" t="s">
        <v>258</v>
      </c>
      <c r="G11" s="6" t="s">
        <v>311</v>
      </c>
      <c r="H11" s="2"/>
    </row>
    <row r="12" spans="1:8" ht="22" customHeight="1" x14ac:dyDescent="0.25">
      <c r="A12" s="4" t="s">
        <v>615</v>
      </c>
      <c r="B12" s="11" t="s">
        <v>148</v>
      </c>
      <c r="C12" s="4" t="s">
        <v>27</v>
      </c>
      <c r="D12" s="4" t="s">
        <v>475</v>
      </c>
      <c r="E12" s="4" t="s">
        <v>36</v>
      </c>
      <c r="F12" s="7" t="s">
        <v>258</v>
      </c>
      <c r="G12" s="6" t="s">
        <v>311</v>
      </c>
      <c r="H12" s="4"/>
    </row>
    <row r="13" spans="1:8" ht="22" customHeight="1" x14ac:dyDescent="0.25">
      <c r="A13" s="2" t="s">
        <v>616</v>
      </c>
      <c r="B13" s="13" t="s">
        <v>151</v>
      </c>
      <c r="C13" s="2" t="s">
        <v>27</v>
      </c>
      <c r="D13" s="2" t="s">
        <v>36</v>
      </c>
      <c r="E13" s="2" t="s">
        <v>36</v>
      </c>
      <c r="F13" s="7" t="s">
        <v>258</v>
      </c>
      <c r="G13" s="6" t="s">
        <v>311</v>
      </c>
      <c r="H13" s="2" t="s">
        <v>528</v>
      </c>
    </row>
    <row r="14" spans="1:8" ht="22" customHeight="1" x14ac:dyDescent="0.25">
      <c r="A14" s="4" t="s">
        <v>617</v>
      </c>
      <c r="B14" s="11" t="s">
        <v>154</v>
      </c>
      <c r="C14" s="4" t="s">
        <v>27</v>
      </c>
      <c r="D14" s="4" t="s">
        <v>36</v>
      </c>
      <c r="E14" s="4" t="s">
        <v>36</v>
      </c>
      <c r="F14" s="7" t="s">
        <v>258</v>
      </c>
      <c r="G14" s="6" t="s">
        <v>311</v>
      </c>
      <c r="H14" s="4"/>
    </row>
    <row r="15" spans="1:8" ht="22" customHeight="1" x14ac:dyDescent="0.25">
      <c r="A15" s="2" t="s">
        <v>618</v>
      </c>
      <c r="B15" s="13" t="s">
        <v>156</v>
      </c>
      <c r="C15" s="2" t="s">
        <v>27</v>
      </c>
      <c r="D15" s="2" t="s">
        <v>36</v>
      </c>
      <c r="E15" s="2" t="s">
        <v>36</v>
      </c>
      <c r="F15" s="7" t="s">
        <v>258</v>
      </c>
      <c r="G15" s="6" t="s">
        <v>311</v>
      </c>
      <c r="H15" s="2"/>
    </row>
    <row r="16" spans="1:8" ht="22" customHeight="1" x14ac:dyDescent="0.25">
      <c r="A16" s="4" t="s">
        <v>619</v>
      </c>
      <c r="B16" s="11" t="s">
        <v>158</v>
      </c>
      <c r="C16" s="4" t="s">
        <v>27</v>
      </c>
      <c r="D16" s="4" t="s">
        <v>36</v>
      </c>
      <c r="E16" s="4" t="s">
        <v>36</v>
      </c>
      <c r="F16" s="7" t="s">
        <v>258</v>
      </c>
      <c r="G16" s="6" t="s">
        <v>311</v>
      </c>
      <c r="H16" s="4" t="s">
        <v>532</v>
      </c>
    </row>
    <row r="17" spans="1:8" ht="22" customHeight="1" x14ac:dyDescent="0.25">
      <c r="A17" s="2" t="s">
        <v>620</v>
      </c>
      <c r="B17" s="13" t="s">
        <v>160</v>
      </c>
      <c r="C17" s="2" t="s">
        <v>27</v>
      </c>
      <c r="D17" s="2" t="s">
        <v>36</v>
      </c>
      <c r="E17" s="2" t="s">
        <v>36</v>
      </c>
      <c r="F17" s="7" t="s">
        <v>258</v>
      </c>
      <c r="G17" s="6" t="s">
        <v>311</v>
      </c>
      <c r="H17" s="2"/>
    </row>
    <row r="18" spans="1:8" ht="22" customHeight="1" x14ac:dyDescent="0.25">
      <c r="A18" s="4" t="s">
        <v>621</v>
      </c>
      <c r="B18" s="11" t="s">
        <v>162</v>
      </c>
      <c r="C18" s="4" t="s">
        <v>27</v>
      </c>
      <c r="D18" s="4" t="s">
        <v>36</v>
      </c>
      <c r="E18" s="4" t="s">
        <v>36</v>
      </c>
      <c r="F18" s="7" t="s">
        <v>258</v>
      </c>
      <c r="G18" s="6" t="s">
        <v>311</v>
      </c>
      <c r="H18" s="4"/>
    </row>
    <row r="19" spans="1:8" ht="22" customHeight="1" x14ac:dyDescent="0.25">
      <c r="A19" s="2" t="s">
        <v>622</v>
      </c>
      <c r="B19" s="13" t="s">
        <v>164</v>
      </c>
      <c r="C19" s="2" t="s">
        <v>27</v>
      </c>
      <c r="D19" s="2" t="s">
        <v>36</v>
      </c>
      <c r="E19" s="2" t="s">
        <v>36</v>
      </c>
      <c r="F19" s="7" t="s">
        <v>258</v>
      </c>
      <c r="G19" s="6" t="s">
        <v>311</v>
      </c>
      <c r="H19" s="2" t="s">
        <v>623</v>
      </c>
    </row>
    <row r="20" spans="1:8" ht="22" customHeight="1" x14ac:dyDescent="0.25">
      <c r="A20" s="4" t="s">
        <v>624</v>
      </c>
      <c r="B20" s="11" t="s">
        <v>169</v>
      </c>
      <c r="C20" s="4" t="s">
        <v>27</v>
      </c>
      <c r="D20" s="4" t="s">
        <v>36</v>
      </c>
      <c r="E20" s="4" t="s">
        <v>36</v>
      </c>
      <c r="F20" s="7" t="s">
        <v>258</v>
      </c>
      <c r="G20" s="14" t="s">
        <v>324</v>
      </c>
      <c r="H20" s="4" t="s">
        <v>625</v>
      </c>
    </row>
    <row r="21" spans="1:8" ht="22" customHeight="1" x14ac:dyDescent="0.25">
      <c r="A21" s="2" t="s">
        <v>626</v>
      </c>
      <c r="B21" s="13" t="s">
        <v>194</v>
      </c>
      <c r="C21" s="2" t="s">
        <v>27</v>
      </c>
      <c r="D21" s="2" t="s">
        <v>36</v>
      </c>
      <c r="E21" s="2" t="s">
        <v>36</v>
      </c>
      <c r="F21" s="7" t="s">
        <v>258</v>
      </c>
      <c r="G21" s="6" t="s">
        <v>311</v>
      </c>
      <c r="H21" s="2" t="s">
        <v>627</v>
      </c>
    </row>
    <row r="22" spans="1:8" ht="22" customHeight="1" x14ac:dyDescent="0.25">
      <c r="A22" s="4" t="s">
        <v>628</v>
      </c>
      <c r="B22" s="11" t="s">
        <v>176</v>
      </c>
      <c r="C22" s="4" t="s">
        <v>27</v>
      </c>
      <c r="D22" s="4" t="s">
        <v>36</v>
      </c>
      <c r="E22" s="4" t="s">
        <v>36</v>
      </c>
      <c r="F22" s="7" t="s">
        <v>258</v>
      </c>
      <c r="G22" s="6" t="s">
        <v>311</v>
      </c>
      <c r="H22" s="4" t="s">
        <v>629</v>
      </c>
    </row>
    <row r="23" spans="1:8" ht="22" customHeight="1" x14ac:dyDescent="0.25">
      <c r="A23" s="2" t="s">
        <v>630</v>
      </c>
      <c r="B23" s="13" t="s">
        <v>179</v>
      </c>
      <c r="C23" s="2" t="s">
        <v>27</v>
      </c>
      <c r="D23" s="2" t="s">
        <v>36</v>
      </c>
      <c r="E23" s="2" t="s">
        <v>36</v>
      </c>
      <c r="F23" s="7" t="s">
        <v>258</v>
      </c>
      <c r="G23" s="6" t="s">
        <v>311</v>
      </c>
      <c r="H23" s="2"/>
    </row>
    <row r="24" spans="1:8" ht="22" customHeight="1" x14ac:dyDescent="0.25">
      <c r="A24" s="4" t="s">
        <v>631</v>
      </c>
      <c r="B24" s="11" t="s">
        <v>181</v>
      </c>
      <c r="C24" s="4" t="s">
        <v>27</v>
      </c>
      <c r="D24" s="4" t="s">
        <v>36</v>
      </c>
      <c r="E24" s="4" t="s">
        <v>36</v>
      </c>
      <c r="F24" s="7" t="s">
        <v>258</v>
      </c>
      <c r="G24" s="6" t="s">
        <v>311</v>
      </c>
      <c r="H24" s="4"/>
    </row>
    <row r="25" spans="1:8" ht="22" customHeight="1" x14ac:dyDescent="0.25">
      <c r="A25" s="2" t="s">
        <v>632</v>
      </c>
      <c r="B25" s="13" t="s">
        <v>63</v>
      </c>
      <c r="C25" s="2" t="s">
        <v>27</v>
      </c>
      <c r="D25" s="2" t="s">
        <v>36</v>
      </c>
      <c r="E25" s="2" t="s">
        <v>36</v>
      </c>
      <c r="F25" s="7" t="s">
        <v>258</v>
      </c>
      <c r="G25" s="6" t="s">
        <v>311</v>
      </c>
      <c r="H25" s="2" t="s">
        <v>633</v>
      </c>
    </row>
    <row r="26" spans="1:8" ht="22" customHeight="1" x14ac:dyDescent="0.25">
      <c r="A26" s="4" t="s">
        <v>634</v>
      </c>
      <c r="B26" s="11" t="s">
        <v>219</v>
      </c>
      <c r="C26" s="4" t="s">
        <v>27</v>
      </c>
      <c r="D26" s="4" t="s">
        <v>36</v>
      </c>
      <c r="E26" s="4" t="s">
        <v>36</v>
      </c>
      <c r="F26" s="7" t="s">
        <v>258</v>
      </c>
      <c r="G26" s="6" t="s">
        <v>311</v>
      </c>
      <c r="H26" s="4" t="s">
        <v>635</v>
      </c>
    </row>
    <row r="27" spans="1:8" ht="22" customHeight="1" x14ac:dyDescent="0.25">
      <c r="A27" s="2" t="s">
        <v>636</v>
      </c>
      <c r="B27" s="13" t="s">
        <v>229</v>
      </c>
      <c r="C27" s="2" t="s">
        <v>27</v>
      </c>
      <c r="D27" s="2" t="s">
        <v>36</v>
      </c>
      <c r="E27" s="2" t="s">
        <v>36</v>
      </c>
      <c r="F27" s="7" t="s">
        <v>258</v>
      </c>
      <c r="G27" s="6" t="s">
        <v>311</v>
      </c>
      <c r="H27" s="2" t="s">
        <v>637</v>
      </c>
    </row>
    <row r="28" spans="1:8" ht="22" customHeight="1" x14ac:dyDescent="0.25">
      <c r="A28" s="4" t="s">
        <v>638</v>
      </c>
      <c r="B28" s="11" t="s">
        <v>232</v>
      </c>
      <c r="C28" s="4" t="s">
        <v>27</v>
      </c>
      <c r="D28" s="4" t="s">
        <v>36</v>
      </c>
      <c r="E28" s="4" t="s">
        <v>36</v>
      </c>
      <c r="F28" s="7" t="s">
        <v>258</v>
      </c>
      <c r="G28" s="6" t="s">
        <v>311</v>
      </c>
      <c r="H28" s="4" t="s">
        <v>639</v>
      </c>
    </row>
    <row r="29" spans="1:8" ht="22" customHeight="1" x14ac:dyDescent="0.25">
      <c r="A29" s="2" t="s">
        <v>640</v>
      </c>
      <c r="B29" s="13" t="s">
        <v>210</v>
      </c>
      <c r="C29" s="2" t="s">
        <v>27</v>
      </c>
      <c r="D29" s="2" t="s">
        <v>36</v>
      </c>
      <c r="E29" s="2" t="s">
        <v>36</v>
      </c>
      <c r="F29" s="7" t="s">
        <v>258</v>
      </c>
      <c r="G29" s="6" t="s">
        <v>311</v>
      </c>
      <c r="H29" s="2" t="s">
        <v>641</v>
      </c>
    </row>
    <row r="30" spans="1:8" ht="22" customHeight="1" x14ac:dyDescent="0.25">
      <c r="A30" s="4" t="s">
        <v>642</v>
      </c>
      <c r="B30" s="11" t="s">
        <v>201</v>
      </c>
      <c r="C30" s="4" t="s">
        <v>27</v>
      </c>
      <c r="D30" s="4" t="s">
        <v>36</v>
      </c>
      <c r="E30" s="4" t="s">
        <v>36</v>
      </c>
      <c r="F30" s="7" t="s">
        <v>258</v>
      </c>
      <c r="G30" s="6" t="s">
        <v>311</v>
      </c>
      <c r="H30" s="4" t="s">
        <v>643</v>
      </c>
    </row>
    <row r="31" spans="1:8" ht="22" customHeight="1" x14ac:dyDescent="0.25">
      <c r="A31" s="2" t="s">
        <v>644</v>
      </c>
      <c r="B31" s="13" t="s">
        <v>235</v>
      </c>
      <c r="C31" s="2" t="s">
        <v>27</v>
      </c>
      <c r="D31" s="2" t="s">
        <v>36</v>
      </c>
      <c r="E31" s="2" t="s">
        <v>36</v>
      </c>
      <c r="F31" s="7" t="s">
        <v>258</v>
      </c>
      <c r="G31" s="6" t="s">
        <v>311</v>
      </c>
      <c r="H31" s="2" t="s">
        <v>645</v>
      </c>
    </row>
    <row r="32" spans="1:8" ht="22" customHeight="1" x14ac:dyDescent="0.25">
      <c r="A32" s="4" t="s">
        <v>646</v>
      </c>
      <c r="B32" s="11" t="s">
        <v>56</v>
      </c>
      <c r="C32" s="4" t="s">
        <v>27</v>
      </c>
      <c r="D32" s="4" t="s">
        <v>36</v>
      </c>
      <c r="E32" s="4" t="s">
        <v>36</v>
      </c>
      <c r="F32" s="7" t="s">
        <v>258</v>
      </c>
      <c r="G32" s="14" t="s">
        <v>324</v>
      </c>
      <c r="H32" s="4" t="s">
        <v>647</v>
      </c>
    </row>
  </sheetData>
  <mergeCells count="2">
    <mergeCell ref="A2:H2"/>
    <mergeCell ref="A1:H1"/>
  </mergeCells>
  <phoneticPr fontId="19" type="noConversion"/>
  <hyperlinks>
    <hyperlink ref="B4" location="'1_标准物理量'!A38" display="displacement_x" xr:uid="{00000000-0004-0000-0C00-000000000000}"/>
    <hyperlink ref="B5" location="'1_标准物理量'!A39" display="displacement_y" xr:uid="{00000000-0004-0000-0C00-000001000000}"/>
    <hyperlink ref="B6" location="'1_标准物理量'!A40" display="displacement_z" xr:uid="{00000000-0004-0000-0C00-000002000000}"/>
    <hyperlink ref="B7" location="'1_标准物理量'!A45" display="velocity_structural_x" xr:uid="{00000000-0004-0000-0C00-000003000000}"/>
    <hyperlink ref="B8" location="'1_标准物理量'!A46" display="velocity_structural_y" xr:uid="{00000000-0004-0000-0C00-000004000000}"/>
    <hyperlink ref="B9" location="'1_标准物理量'!A47" display="velocity_structural_z" xr:uid="{00000000-0004-0000-0C00-000005000000}"/>
    <hyperlink ref="B10" location="'1_标准物理量'!A48" display="acceleration_x" xr:uid="{00000000-0004-0000-0C00-000006000000}"/>
    <hyperlink ref="B11" location="'1_标准物理量'!A49" display="acceleration_y" xr:uid="{00000000-0004-0000-0C00-000007000000}"/>
    <hyperlink ref="B12" location="'1_标准物理量'!A50" display="acceleration_z" xr:uid="{00000000-0004-0000-0C00-000008000000}"/>
    <hyperlink ref="B13" location="'1_标准物理量'!A52" display="stress_xx" xr:uid="{00000000-0004-0000-0C00-000009000000}"/>
    <hyperlink ref="B14" location="'1_标准物理量'!A53" display="stress_yy" xr:uid="{00000000-0004-0000-0C00-00000A000000}"/>
    <hyperlink ref="B15" location="'1_标准物理量'!A54" display="stress_zz" xr:uid="{00000000-0004-0000-0C00-00000B000000}"/>
    <hyperlink ref="B16" location="'1_标准物理量'!A55" display="stress_xy" xr:uid="{00000000-0004-0000-0C00-00000C000000}"/>
    <hyperlink ref="B17" location="'1_标准物理量'!A56" display="stress_yz" xr:uid="{00000000-0004-0000-0C00-00000D000000}"/>
    <hyperlink ref="B18" location="'1_标准物理量'!A57" display="stress_zx" xr:uid="{00000000-0004-0000-0C00-00000E000000}"/>
    <hyperlink ref="B19" location="'1_标准物理量'!A58" display="von_mises_stress" xr:uid="{00000000-0004-0000-0C00-00000F000000}"/>
    <hyperlink ref="B20" location="'1_标准物理量'!A60" display="hydrostatic_pressure" xr:uid="{00000000-0004-0000-0C00-000010000000}"/>
    <hyperlink ref="B21" location="'1_标准物理量'!A70" display="equivalent_plastic_strain" xr:uid="{00000000-0004-0000-0C00-000011000000}"/>
    <hyperlink ref="B22" location="'1_标准物理量'!A63" display="strain_xx" xr:uid="{00000000-0004-0000-0C00-000012000000}"/>
    <hyperlink ref="B23" location="'1_标准物理量'!A64" display="strain_yy" xr:uid="{00000000-0004-0000-0C00-000013000000}"/>
    <hyperlink ref="B24" location="'1_标准物理量'!A65" display="strain_zz" xr:uid="{00000000-0004-0000-0C00-000014000000}"/>
    <hyperlink ref="B25" location="'1_标准物理量'!A18" display="internal_energy" xr:uid="{00000000-0004-0000-0C00-000015000000}"/>
    <hyperlink ref="B26" location="'1_标准物理量'!A79" display="kinetic_energy" xr:uid="{00000000-0004-0000-0C00-000016000000}"/>
    <hyperlink ref="B27" location="'1_标准物理量'!A82" display="hourglass_energy" xr:uid="{00000000-0004-0000-0C00-000017000000}"/>
    <hyperlink ref="B28" location="'1_标准物理量'!A83" display="failure_flag" xr:uid="{00000000-0004-0000-0C00-000018000000}"/>
    <hyperlink ref="B29" location="'1_标准物理量'!A76" display="contact_force" xr:uid="{00000000-0004-0000-0C00-000019000000}"/>
    <hyperlink ref="B30" location="'1_标准物理量'!A73" display="contact_pressure" xr:uid="{00000000-0004-0000-0C00-00001A000000}"/>
    <hyperlink ref="B31" location="'1_标准物理量'!A84" display="shell_thickness" xr:uid="{00000000-0004-0000-0C00-00001B000000}"/>
    <hyperlink ref="B32" location="'1_标准物理量'!A16" display="temperature" xr:uid="{00000000-0004-0000-0C00-00001C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0"/>
  <sheetViews>
    <sheetView showGridLines="0" workbookViewId="0">
      <selection sqref="A1:F1"/>
    </sheetView>
  </sheetViews>
  <sheetFormatPr defaultRowHeight="14" x14ac:dyDescent="0.25"/>
  <cols>
    <col min="1" max="1" width="26" customWidth="1"/>
    <col min="2" max="2" width="16" customWidth="1"/>
    <col min="3" max="4" width="14" customWidth="1"/>
    <col min="5" max="5" width="10" customWidth="1"/>
    <col min="6" max="6" width="60" customWidth="1"/>
  </cols>
  <sheetData>
    <row r="1" spans="1:6" ht="34" customHeight="1" x14ac:dyDescent="0.25">
      <c r="A1" s="19" t="s">
        <v>648</v>
      </c>
      <c r="B1" s="20"/>
      <c r="C1" s="20"/>
      <c r="D1" s="20"/>
      <c r="E1" s="20"/>
      <c r="F1" s="20"/>
    </row>
    <row r="2" spans="1:6" ht="30" customHeight="1" x14ac:dyDescent="0.25">
      <c r="A2" s="30" t="s">
        <v>649</v>
      </c>
      <c r="B2" s="20"/>
      <c r="C2" s="20"/>
      <c r="D2" s="20"/>
      <c r="E2" s="20"/>
      <c r="F2" s="20"/>
    </row>
    <row r="3" spans="1:6" ht="22" customHeight="1" x14ac:dyDescent="0.25">
      <c r="A3" s="3" t="s">
        <v>18</v>
      </c>
      <c r="B3" s="3" t="s">
        <v>19</v>
      </c>
      <c r="C3" s="3" t="s">
        <v>650</v>
      </c>
      <c r="D3" s="3" t="s">
        <v>651</v>
      </c>
      <c r="E3" s="3" t="s">
        <v>652</v>
      </c>
      <c r="F3" s="3" t="s">
        <v>653</v>
      </c>
    </row>
    <row r="4" spans="1:6" ht="22" customHeight="1" x14ac:dyDescent="0.25">
      <c r="A4" s="4" t="s">
        <v>24</v>
      </c>
      <c r="B4" s="4" t="s">
        <v>654</v>
      </c>
      <c r="C4" s="5" t="s">
        <v>655</v>
      </c>
      <c r="D4" s="5" t="s">
        <v>656</v>
      </c>
      <c r="E4" s="5" t="s">
        <v>26</v>
      </c>
      <c r="F4" s="4" t="s">
        <v>657</v>
      </c>
    </row>
    <row r="5" spans="1:6" ht="22" customHeight="1" x14ac:dyDescent="0.25">
      <c r="A5" s="2" t="s">
        <v>29</v>
      </c>
      <c r="B5" s="2" t="s">
        <v>30</v>
      </c>
      <c r="C5" s="6" t="s">
        <v>658</v>
      </c>
      <c r="D5" s="6" t="s">
        <v>659</v>
      </c>
      <c r="E5" s="6" t="s">
        <v>31</v>
      </c>
      <c r="F5" s="2"/>
    </row>
    <row r="6" spans="1:6" ht="22" customHeight="1" x14ac:dyDescent="0.25">
      <c r="A6" s="4" t="s">
        <v>32</v>
      </c>
      <c r="B6" s="4" t="s">
        <v>33</v>
      </c>
      <c r="C6" s="5" t="s">
        <v>660</v>
      </c>
      <c r="D6" s="5" t="s">
        <v>661</v>
      </c>
      <c r="E6" s="5" t="s">
        <v>26</v>
      </c>
      <c r="F6" s="4" t="s">
        <v>662</v>
      </c>
    </row>
    <row r="7" spans="1:6" ht="22" customHeight="1" x14ac:dyDescent="0.25">
      <c r="A7" s="2" t="s">
        <v>34</v>
      </c>
      <c r="B7" s="2" t="s">
        <v>35</v>
      </c>
      <c r="C7" s="6" t="s">
        <v>663</v>
      </c>
      <c r="D7" s="6" t="s">
        <v>664</v>
      </c>
      <c r="E7" s="6" t="s">
        <v>36</v>
      </c>
      <c r="F7" s="2" t="s">
        <v>665</v>
      </c>
    </row>
    <row r="8" spans="1:6" ht="22" customHeight="1" x14ac:dyDescent="0.25">
      <c r="A8" s="4" t="s">
        <v>37</v>
      </c>
      <c r="B8" s="4" t="s">
        <v>38</v>
      </c>
      <c r="C8" s="5" t="s">
        <v>666</v>
      </c>
      <c r="D8" s="5" t="s">
        <v>667</v>
      </c>
      <c r="E8" s="5" t="s">
        <v>26</v>
      </c>
      <c r="F8" s="4"/>
    </row>
    <row r="9" spans="1:6" ht="22" customHeight="1" x14ac:dyDescent="0.25">
      <c r="A9" s="2" t="s">
        <v>39</v>
      </c>
      <c r="B9" s="2" t="s">
        <v>668</v>
      </c>
      <c r="C9" s="6" t="s">
        <v>658</v>
      </c>
      <c r="D9" s="6" t="s">
        <v>669</v>
      </c>
      <c r="E9" s="6" t="s">
        <v>41</v>
      </c>
      <c r="F9" s="2" t="s">
        <v>670</v>
      </c>
    </row>
    <row r="10" spans="1:6" ht="22" customHeight="1" x14ac:dyDescent="0.25">
      <c r="A10" s="4" t="s">
        <v>43</v>
      </c>
      <c r="B10" s="4" t="s">
        <v>671</v>
      </c>
      <c r="C10" s="5" t="s">
        <v>658</v>
      </c>
      <c r="D10" s="5" t="s">
        <v>669</v>
      </c>
      <c r="E10" s="5" t="s">
        <v>41</v>
      </c>
      <c r="F10" s="4" t="s">
        <v>139</v>
      </c>
    </row>
    <row r="11" spans="1:6" ht="22" customHeight="1" x14ac:dyDescent="0.25">
      <c r="A11" s="2" t="s">
        <v>45</v>
      </c>
      <c r="B11" s="2" t="s">
        <v>672</v>
      </c>
      <c r="C11" s="6" t="s">
        <v>658</v>
      </c>
      <c r="D11" s="6" t="s">
        <v>669</v>
      </c>
      <c r="E11" s="6" t="s">
        <v>41</v>
      </c>
      <c r="F11" s="2" t="s">
        <v>139</v>
      </c>
    </row>
    <row r="12" spans="1:6" ht="22" customHeight="1" x14ac:dyDescent="0.25">
      <c r="A12" s="4" t="s">
        <v>47</v>
      </c>
      <c r="B12" s="4" t="s">
        <v>48</v>
      </c>
      <c r="C12" s="5" t="s">
        <v>666</v>
      </c>
      <c r="D12" s="5" t="s">
        <v>673</v>
      </c>
      <c r="E12" s="5" t="s">
        <v>41</v>
      </c>
      <c r="F12" s="4" t="s">
        <v>674</v>
      </c>
    </row>
    <row r="13" spans="1:6" ht="22" customHeight="1" x14ac:dyDescent="0.25">
      <c r="A13" s="2" t="s">
        <v>49</v>
      </c>
      <c r="B13" s="2" t="s">
        <v>50</v>
      </c>
      <c r="C13" s="6" t="s">
        <v>666</v>
      </c>
      <c r="D13" s="6" t="s">
        <v>675</v>
      </c>
      <c r="E13" s="6" t="s">
        <v>36</v>
      </c>
      <c r="F13" s="2" t="s">
        <v>676</v>
      </c>
    </row>
    <row r="14" spans="1:6" ht="22" customHeight="1" x14ac:dyDescent="0.25">
      <c r="A14" s="4" t="s">
        <v>677</v>
      </c>
      <c r="B14" s="4" t="s">
        <v>678</v>
      </c>
      <c r="C14" s="5" t="s">
        <v>679</v>
      </c>
      <c r="D14" s="5" t="s">
        <v>680</v>
      </c>
      <c r="E14" s="5" t="s">
        <v>118</v>
      </c>
      <c r="F14" s="4" t="s">
        <v>681</v>
      </c>
    </row>
    <row r="15" spans="1:6" ht="22" customHeight="1" x14ac:dyDescent="0.25">
      <c r="A15" s="2" t="s">
        <v>682</v>
      </c>
      <c r="B15" s="2" t="s">
        <v>683</v>
      </c>
      <c r="C15" s="6" t="s">
        <v>679</v>
      </c>
      <c r="D15" s="6" t="s">
        <v>680</v>
      </c>
      <c r="E15" s="6" t="s">
        <v>118</v>
      </c>
      <c r="F15" s="2" t="s">
        <v>139</v>
      </c>
    </row>
    <row r="16" spans="1:6" ht="22" customHeight="1" x14ac:dyDescent="0.25">
      <c r="A16" s="4" t="s">
        <v>684</v>
      </c>
      <c r="B16" s="4" t="s">
        <v>685</v>
      </c>
      <c r="C16" s="5" t="s">
        <v>679</v>
      </c>
      <c r="D16" s="5" t="s">
        <v>680</v>
      </c>
      <c r="E16" s="5" t="s">
        <v>118</v>
      </c>
      <c r="F16" s="4" t="s">
        <v>139</v>
      </c>
    </row>
    <row r="17" spans="1:6" ht="22" customHeight="1" x14ac:dyDescent="0.25">
      <c r="A17" s="2" t="s">
        <v>56</v>
      </c>
      <c r="B17" s="2" t="s">
        <v>57</v>
      </c>
      <c r="C17" s="6" t="s">
        <v>680</v>
      </c>
      <c r="D17" s="6" t="s">
        <v>686</v>
      </c>
      <c r="E17" s="6" t="s">
        <v>58</v>
      </c>
      <c r="F17" s="2" t="s">
        <v>687</v>
      </c>
    </row>
    <row r="18" spans="1:6" ht="22" customHeight="1" x14ac:dyDescent="0.25">
      <c r="A18" s="4" t="s">
        <v>51</v>
      </c>
      <c r="B18" s="4" t="s">
        <v>52</v>
      </c>
      <c r="C18" s="5" t="s">
        <v>688</v>
      </c>
      <c r="D18" s="5" t="s">
        <v>673</v>
      </c>
      <c r="E18" s="5" t="s">
        <v>53</v>
      </c>
      <c r="F18" s="4" t="s">
        <v>689</v>
      </c>
    </row>
    <row r="19" spans="1:6" ht="22" customHeight="1" x14ac:dyDescent="0.25">
      <c r="A19" s="2" t="s">
        <v>74</v>
      </c>
      <c r="B19" s="2" t="s">
        <v>75</v>
      </c>
      <c r="C19" s="6" t="s">
        <v>666</v>
      </c>
      <c r="D19" s="6" t="s">
        <v>669</v>
      </c>
      <c r="E19" s="6" t="s">
        <v>31</v>
      </c>
      <c r="F19" s="2" t="s">
        <v>690</v>
      </c>
    </row>
    <row r="20" spans="1:6" ht="22" customHeight="1" x14ac:dyDescent="0.25">
      <c r="A20" s="4" t="s">
        <v>77</v>
      </c>
      <c r="B20" s="4" t="s">
        <v>691</v>
      </c>
      <c r="C20" s="5" t="s">
        <v>666</v>
      </c>
      <c r="D20" s="5" t="s">
        <v>692</v>
      </c>
      <c r="E20" s="5" t="s">
        <v>79</v>
      </c>
      <c r="F20" s="4" t="s">
        <v>693</v>
      </c>
    </row>
    <row r="21" spans="1:6" ht="22" customHeight="1" x14ac:dyDescent="0.25">
      <c r="A21" s="2" t="s">
        <v>81</v>
      </c>
      <c r="B21" s="2" t="s">
        <v>82</v>
      </c>
      <c r="C21" s="6" t="s">
        <v>666</v>
      </c>
      <c r="D21" s="6" t="s">
        <v>694</v>
      </c>
      <c r="E21" s="6" t="s">
        <v>83</v>
      </c>
      <c r="F21" s="2" t="s">
        <v>695</v>
      </c>
    </row>
    <row r="22" spans="1:6" ht="22" customHeight="1" x14ac:dyDescent="0.25">
      <c r="A22" s="4" t="s">
        <v>85</v>
      </c>
      <c r="B22" s="4" t="s">
        <v>696</v>
      </c>
      <c r="C22" s="5" t="s">
        <v>666</v>
      </c>
      <c r="D22" s="5" t="s">
        <v>697</v>
      </c>
      <c r="E22" s="5" t="s">
        <v>87</v>
      </c>
      <c r="F22" s="4" t="s">
        <v>698</v>
      </c>
    </row>
    <row r="23" spans="1:6" ht="22" customHeight="1" x14ac:dyDescent="0.25">
      <c r="A23" s="2" t="s">
        <v>96</v>
      </c>
      <c r="B23" s="2" t="s">
        <v>97</v>
      </c>
      <c r="C23" s="6" t="s">
        <v>666</v>
      </c>
      <c r="D23" s="6" t="s">
        <v>673</v>
      </c>
      <c r="E23" s="6" t="s">
        <v>36</v>
      </c>
      <c r="F23" s="2" t="s">
        <v>699</v>
      </c>
    </row>
    <row r="24" spans="1:6" ht="22" customHeight="1" x14ac:dyDescent="0.25">
      <c r="A24" s="4" t="s">
        <v>92</v>
      </c>
      <c r="B24" s="4" t="s">
        <v>93</v>
      </c>
      <c r="C24" s="5" t="s">
        <v>666</v>
      </c>
      <c r="D24" s="5" t="s">
        <v>659</v>
      </c>
      <c r="E24" s="5" t="s">
        <v>26</v>
      </c>
      <c r="F24" s="4" t="s">
        <v>700</v>
      </c>
    </row>
    <row r="25" spans="1:6" ht="22" customHeight="1" x14ac:dyDescent="0.25">
      <c r="A25" s="2" t="s">
        <v>99</v>
      </c>
      <c r="B25" s="2" t="s">
        <v>100</v>
      </c>
      <c r="C25" s="6" t="s">
        <v>666</v>
      </c>
      <c r="D25" s="6" t="s">
        <v>701</v>
      </c>
      <c r="E25" s="6" t="s">
        <v>36</v>
      </c>
      <c r="F25" s="2" t="s">
        <v>702</v>
      </c>
    </row>
    <row r="26" spans="1:6" ht="22" customHeight="1" x14ac:dyDescent="0.25">
      <c r="A26" s="4" t="s">
        <v>109</v>
      </c>
      <c r="B26" s="4" t="s">
        <v>110</v>
      </c>
      <c r="C26" s="5" t="s">
        <v>666</v>
      </c>
      <c r="D26" s="5" t="s">
        <v>692</v>
      </c>
      <c r="E26" s="5" t="s">
        <v>83</v>
      </c>
      <c r="F26" s="4" t="s">
        <v>703</v>
      </c>
    </row>
    <row r="27" spans="1:6" ht="22" customHeight="1" x14ac:dyDescent="0.25">
      <c r="A27" s="2" t="s">
        <v>111</v>
      </c>
      <c r="B27" s="2" t="s">
        <v>112</v>
      </c>
      <c r="C27" s="6" t="s">
        <v>704</v>
      </c>
      <c r="D27" s="6" t="s">
        <v>694</v>
      </c>
      <c r="E27" s="6" t="s">
        <v>113</v>
      </c>
      <c r="F27" s="2" t="s">
        <v>705</v>
      </c>
    </row>
    <row r="30" spans="1:6" ht="30" customHeight="1" x14ac:dyDescent="0.25">
      <c r="A30" s="31" t="s">
        <v>706</v>
      </c>
      <c r="B30" s="20"/>
      <c r="C30" s="20"/>
      <c r="D30" s="20"/>
      <c r="E30" s="20"/>
      <c r="F30" s="20"/>
    </row>
  </sheetData>
  <mergeCells count="3">
    <mergeCell ref="A2:F2"/>
    <mergeCell ref="A1:F1"/>
    <mergeCell ref="A30:F30"/>
  </mergeCells>
  <phoneticPr fontId="19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4"/>
  <sheetViews>
    <sheetView showGridLines="0" tabSelected="1" workbookViewId="0">
      <selection sqref="A1:E1"/>
    </sheetView>
  </sheetViews>
  <sheetFormatPr defaultRowHeight="14" x14ac:dyDescent="0.25"/>
  <cols>
    <col min="1" max="1" width="12" customWidth="1"/>
    <col min="2" max="2" width="28" customWidth="1"/>
    <col min="3" max="3" width="30" customWidth="1"/>
    <col min="4" max="4" width="12" customWidth="1"/>
    <col min="5" max="5" width="40" customWidth="1"/>
  </cols>
  <sheetData>
    <row r="1" spans="1:5" ht="34" customHeight="1" x14ac:dyDescent="0.25">
      <c r="A1" s="32" t="s">
        <v>707</v>
      </c>
      <c r="B1" s="20"/>
      <c r="C1" s="20"/>
      <c r="D1" s="20"/>
      <c r="E1" s="20"/>
    </row>
    <row r="2" spans="1:5" ht="22" customHeight="1" x14ac:dyDescent="0.25">
      <c r="A2" s="3" t="s">
        <v>708</v>
      </c>
      <c r="B2" s="3" t="s">
        <v>709</v>
      </c>
      <c r="C2" s="3" t="s">
        <v>710</v>
      </c>
      <c r="D2" s="3" t="s">
        <v>652</v>
      </c>
      <c r="E2" s="3" t="s">
        <v>711</v>
      </c>
    </row>
    <row r="3" spans="1:5" ht="22" customHeight="1" x14ac:dyDescent="0.25">
      <c r="A3" s="17" t="s">
        <v>304</v>
      </c>
      <c r="B3" s="17" t="s">
        <v>712</v>
      </c>
      <c r="C3" s="17" t="s">
        <v>713</v>
      </c>
      <c r="D3" s="17" t="s">
        <v>31</v>
      </c>
      <c r="E3" s="17" t="s">
        <v>714</v>
      </c>
    </row>
    <row r="4" spans="1:5" ht="22" customHeight="1" x14ac:dyDescent="0.25">
      <c r="A4" s="18" t="s">
        <v>304</v>
      </c>
      <c r="B4" s="18" t="s">
        <v>715</v>
      </c>
      <c r="C4" s="18" t="s">
        <v>654</v>
      </c>
      <c r="D4" s="18" t="s">
        <v>26</v>
      </c>
      <c r="E4" s="18" t="s">
        <v>716</v>
      </c>
    </row>
    <row r="5" spans="1:5" ht="22" customHeight="1" x14ac:dyDescent="0.25">
      <c r="A5" s="17" t="s">
        <v>304</v>
      </c>
      <c r="B5" s="17" t="s">
        <v>260</v>
      </c>
      <c r="C5" s="17" t="s">
        <v>717</v>
      </c>
      <c r="D5" s="17" t="s">
        <v>26</v>
      </c>
      <c r="E5" s="17" t="s">
        <v>718</v>
      </c>
    </row>
    <row r="6" spans="1:5" ht="22" customHeight="1" x14ac:dyDescent="0.25">
      <c r="A6" s="18" t="s">
        <v>304</v>
      </c>
      <c r="B6" s="18" t="s">
        <v>263</v>
      </c>
      <c r="C6" s="18" t="s">
        <v>719</v>
      </c>
      <c r="D6" s="18" t="s">
        <v>26</v>
      </c>
      <c r="E6" s="18" t="s">
        <v>716</v>
      </c>
    </row>
    <row r="7" spans="1:5" ht="22" customHeight="1" x14ac:dyDescent="0.25">
      <c r="A7" s="17" t="s">
        <v>304</v>
      </c>
      <c r="B7" s="17" t="s">
        <v>720</v>
      </c>
      <c r="C7" s="17" t="s">
        <v>721</v>
      </c>
      <c r="D7" s="17" t="s">
        <v>722</v>
      </c>
      <c r="E7" s="17" t="s">
        <v>723</v>
      </c>
    </row>
    <row r="8" spans="1:5" ht="22" customHeight="1" x14ac:dyDescent="0.25">
      <c r="A8" s="18" t="s">
        <v>308</v>
      </c>
      <c r="B8" s="18" t="s">
        <v>256</v>
      </c>
      <c r="C8" s="18" t="s">
        <v>724</v>
      </c>
      <c r="D8" s="18" t="s">
        <v>41</v>
      </c>
      <c r="E8" s="18" t="s">
        <v>725</v>
      </c>
    </row>
    <row r="9" spans="1:5" ht="22" customHeight="1" x14ac:dyDescent="0.25">
      <c r="A9" s="17" t="s">
        <v>308</v>
      </c>
      <c r="B9" s="17" t="s">
        <v>726</v>
      </c>
      <c r="C9" s="17" t="s">
        <v>727</v>
      </c>
      <c r="D9" s="17" t="s">
        <v>41</v>
      </c>
      <c r="E9" s="17" t="s">
        <v>728</v>
      </c>
    </row>
    <row r="10" spans="1:5" ht="22" customHeight="1" x14ac:dyDescent="0.25">
      <c r="A10" s="18" t="s">
        <v>353</v>
      </c>
      <c r="B10" s="18" t="s">
        <v>729</v>
      </c>
      <c r="C10" s="18" t="s">
        <v>730</v>
      </c>
      <c r="D10" s="18" t="s">
        <v>731</v>
      </c>
      <c r="E10" s="18" t="s">
        <v>732</v>
      </c>
    </row>
    <row r="11" spans="1:5" ht="22" customHeight="1" x14ac:dyDescent="0.25">
      <c r="A11" s="17" t="s">
        <v>85</v>
      </c>
      <c r="B11" s="17" t="s">
        <v>733</v>
      </c>
      <c r="C11" s="17" t="s">
        <v>86</v>
      </c>
      <c r="D11" s="17" t="s">
        <v>87</v>
      </c>
      <c r="E11" s="17" t="s">
        <v>734</v>
      </c>
    </row>
    <row r="12" spans="1:5" ht="22" customHeight="1" x14ac:dyDescent="0.25">
      <c r="A12" s="18" t="s">
        <v>422</v>
      </c>
      <c r="B12" s="18" t="s">
        <v>267</v>
      </c>
      <c r="C12" s="18" t="s">
        <v>735</v>
      </c>
      <c r="D12" s="18" t="s">
        <v>736</v>
      </c>
      <c r="E12" s="18" t="s">
        <v>737</v>
      </c>
    </row>
    <row r="13" spans="1:5" ht="22" customHeight="1" x14ac:dyDescent="0.25">
      <c r="A13" s="17" t="s">
        <v>470</v>
      </c>
      <c r="B13" s="17" t="s">
        <v>726</v>
      </c>
      <c r="C13" s="17" t="s">
        <v>738</v>
      </c>
      <c r="D13" s="17" t="s">
        <v>739</v>
      </c>
      <c r="E13" s="17" t="s">
        <v>740</v>
      </c>
    </row>
    <row r="14" spans="1:5" ht="22" customHeight="1" x14ac:dyDescent="0.25">
      <c r="A14" s="18" t="s">
        <v>339</v>
      </c>
      <c r="B14" s="18" t="s">
        <v>726</v>
      </c>
      <c r="C14" s="18" t="s">
        <v>741</v>
      </c>
      <c r="D14" s="18" t="s">
        <v>722</v>
      </c>
      <c r="E14" s="18" t="s">
        <v>742</v>
      </c>
    </row>
  </sheetData>
  <mergeCells count="1">
    <mergeCell ref="A1:E1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0_设计说明</vt:lpstr>
      <vt:lpstr>1_标准物理量</vt:lpstr>
      <vt:lpstr>2_求解器识别规则</vt:lpstr>
      <vt:lpstr>3_OpenFOAM_不可压</vt:lpstr>
      <vt:lpstr>4_OpenFOAM_可压</vt:lpstr>
      <vt:lpstr>5_Fluent</vt:lpstr>
      <vt:lpstr>6_CFX</vt:lpstr>
      <vt:lpstr>7_CGNS</vt:lpstr>
      <vt:lpstr>8_Tecplot_PLT_SZPLT</vt:lpstr>
      <vt:lpstr>9_StarCCM</vt:lpstr>
      <vt:lpstr>10_Abaqus</vt:lpstr>
      <vt:lpstr>11_CFDpp</vt:lpstr>
      <vt:lpstr>12_LS_DYNA</vt:lpstr>
      <vt:lpstr>14_值域范围判断规则</vt:lpstr>
      <vt:lpstr>13_同名异义高风险汇总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 chen</cp:lastModifiedBy>
  <dcterms:created xsi:type="dcterms:W3CDTF">2026-03-31T05:12:39Z</dcterms:created>
  <dcterms:modified xsi:type="dcterms:W3CDTF">2026-03-31T05:55:36Z</dcterms:modified>
</cp:coreProperties>
</file>